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6E1421A0-6377-3448-9028-9A5C304120B7}" xr6:coauthVersionLast="47" xr6:coauthVersionMax="47" xr10:uidLastSave="{00000000-0000-0000-0000-000000000000}"/>
  <bookViews>
    <workbookView xWindow="0" yWindow="0" windowWidth="28800" windowHeight="18000" firstSheet="4" activeTab="11" xr2:uid="{00000000-000D-0000-FFFF-FFFF00000000}"/>
  </bookViews>
  <sheets>
    <sheet name="dataset maxwel" sheetId="1" r:id="rId1"/>
    <sheet name="parameter FF dan DF" sheetId="2" r:id="rId2"/>
    <sheet name="normalisasi FF &amp; DF" sheetId="3" r:id="rId3"/>
    <sheet name="value range ff &amp; df" sheetId="4" r:id="rId4"/>
    <sheet name="FF &amp; DF" sheetId="5" r:id="rId5"/>
    <sheet name="Value Vi" sheetId="6" r:id="rId6"/>
    <sheet name="Solusi Optimum GA, maxwell" sheetId="7" r:id="rId7"/>
    <sheet name="Solusi Optimum gaco, maxwell" sheetId="10" r:id="rId8"/>
    <sheet name="solusi optimum gaco, zia" sheetId="11" r:id="rId9"/>
    <sheet name="solusi optimum ga, zia" sheetId="13" r:id="rId10"/>
    <sheet name="GACO GA comparations es" sheetId="9" r:id="rId11"/>
    <sheet name="AE, uji Statistik" sheetId="14" r:id="rId12"/>
    <sheet name="Uji Coba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4" roundtripDataChecksum="e3nfZA0FibDKQdsqgQhWxpE9vqw/wVH6oennyPGLofI="/>
    </ext>
  </extLst>
</workbook>
</file>

<file path=xl/calcChain.xml><?xml version="1.0" encoding="utf-8"?>
<calcChain xmlns="http://schemas.openxmlformats.org/spreadsheetml/2006/main">
  <c r="F2" i="4" l="1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67" i="9"/>
  <c r="E67" i="9"/>
  <c r="W68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X4" i="7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F25" i="4"/>
  <c r="D25" i="4" s="1"/>
  <c r="F24" i="4"/>
  <c r="D24" i="4" s="1"/>
  <c r="F23" i="4"/>
  <c r="C23" i="4" s="1"/>
  <c r="F22" i="4"/>
  <c r="D22" i="4" s="1"/>
  <c r="F21" i="4"/>
  <c r="D21" i="4" s="1"/>
  <c r="F20" i="4"/>
  <c r="D20" i="4" s="1"/>
  <c r="F19" i="4"/>
  <c r="C19" i="4" s="1"/>
  <c r="F18" i="4"/>
  <c r="D18" i="4" s="1"/>
  <c r="F17" i="4"/>
  <c r="D17" i="4" s="1"/>
  <c r="F16" i="4"/>
  <c r="D16" i="4" s="1"/>
  <c r="F15" i="4"/>
  <c r="D15" i="4" s="1"/>
  <c r="F14" i="4"/>
  <c r="D14" i="4" s="1"/>
  <c r="F13" i="4"/>
  <c r="D13" i="4" s="1"/>
  <c r="F12" i="4"/>
  <c r="D12" i="4" s="1"/>
  <c r="F11" i="4"/>
  <c r="D11" i="4" s="1"/>
  <c r="F8" i="4"/>
  <c r="D8" i="4" s="1"/>
  <c r="F7" i="4"/>
  <c r="D7" i="4" s="1"/>
  <c r="F6" i="4"/>
  <c r="C6" i="4" s="1"/>
  <c r="F5" i="4"/>
  <c r="D5" i="4" s="1"/>
  <c r="F4" i="4"/>
  <c r="D4" i="4" s="1"/>
  <c r="F3" i="4"/>
  <c r="D3" i="4" s="1"/>
  <c r="D2" i="4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AB67" i="1"/>
  <c r="AB66" i="1"/>
  <c r="AB65" i="1"/>
  <c r="AB64" i="1"/>
  <c r="E129" i="9" l="1"/>
  <c r="F129" i="9"/>
  <c r="W89" i="9"/>
  <c r="X89" i="9"/>
  <c r="D19" i="4"/>
  <c r="C5" i="4"/>
  <c r="C16" i="4"/>
  <c r="C2" i="4"/>
  <c r="D6" i="4"/>
  <c r="C18" i="4"/>
  <c r="C8" i="4"/>
  <c r="C12" i="4"/>
  <c r="D23" i="4"/>
  <c r="C11" i="4"/>
  <c r="C15" i="4"/>
  <c r="C20" i="4"/>
  <c r="C24" i="4"/>
  <c r="C3" i="4"/>
  <c r="C13" i="4"/>
  <c r="C21" i="4"/>
  <c r="C4" i="4"/>
  <c r="C14" i="4"/>
  <c r="C22" i="4"/>
  <c r="C7" i="4"/>
  <c r="C17" i="4"/>
  <c r="C25" i="4"/>
</calcChain>
</file>

<file path=xl/sharedStrings.xml><?xml version="1.0" encoding="utf-8"?>
<sst xmlns="http://schemas.openxmlformats.org/spreadsheetml/2006/main" count="388" uniqueCount="273">
  <si>
    <t>id</t>
  </si>
  <si>
    <t>Year</t>
  </si>
  <si>
    <t>Har</t>
  </si>
  <si>
    <t>App</t>
  </si>
  <si>
    <t>Dba</t>
  </si>
  <si>
    <t>Ifc</t>
  </si>
  <si>
    <t>Source</t>
  </si>
  <si>
    <t>Telonuse</t>
  </si>
  <si>
    <t>Nlan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</si>
  <si>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</si>
  <si>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</si>
  <si>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</si>
  <si>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</si>
  <si>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</si>
  <si>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</si>
  <si>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</si>
  <si>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</si>
  <si>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</si>
  <si>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</si>
  <si>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</si>
  <si>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</si>
  <si>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</si>
  <si>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</si>
  <si>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</si>
  <si>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Duration</t>
  </si>
  <si>
    <t>Size</t>
  </si>
  <si>
    <t>Time</t>
  </si>
  <si>
    <t>Effort</t>
  </si>
  <si>
    <t>NOTE</t>
  </si>
  <si>
    <t>atribute data</t>
  </si>
  <si>
    <t>keterangan</t>
  </si>
  <si>
    <t>Har - Nlan</t>
  </si>
  <si>
    <t>friction factors</t>
  </si>
  <si>
    <t>T1 - Duration</t>
  </si>
  <si>
    <t>dynamic factors</t>
  </si>
  <si>
    <t>time</t>
  </si>
  <si>
    <t>nilai actual</t>
  </si>
  <si>
    <t>effort</t>
  </si>
  <si>
    <t>nilai estimasi (unit of effort compeleted)</t>
  </si>
  <si>
    <t>duration</t>
  </si>
  <si>
    <t>sprint time</t>
  </si>
  <si>
    <t xml:space="preserve">Mean </t>
  </si>
  <si>
    <t>Std Dev</t>
  </si>
  <si>
    <t>min</t>
  </si>
  <si>
    <t>max</t>
  </si>
  <si>
    <t>friction factros</t>
  </si>
  <si>
    <t>Dynamic Factors</t>
  </si>
  <si>
    <t>Q1</t>
  </si>
  <si>
    <t>Q2</t>
  </si>
  <si>
    <t>Q3</t>
  </si>
  <si>
    <t>ff</t>
  </si>
  <si>
    <t>stable</t>
  </si>
  <si>
    <t>volatile</t>
  </si>
  <si>
    <t>high volatile</t>
  </si>
  <si>
    <t>very high volatile</t>
  </si>
  <si>
    <t>Telenouse</t>
  </si>
  <si>
    <t>df</t>
  </si>
  <si>
    <t>Normal</t>
  </si>
  <si>
    <t>high</t>
  </si>
  <si>
    <t>very high</t>
  </si>
  <si>
    <t>extra high</t>
  </si>
  <si>
    <t>Berdasarkan acuan formula referensi dari dataset ziauddin, value Vi didapatkan menggunakan formula di bawah ini:</t>
  </si>
  <si>
    <t xml:space="preserve">Keterangan </t>
  </si>
  <si>
    <r>
      <rPr>
        <b/>
        <sz val="12"/>
        <color theme="1"/>
        <rFont val="Aptos Narrow"/>
      </rPr>
      <t>effort</t>
    </r>
    <r>
      <rPr>
        <sz val="12"/>
        <color theme="1"/>
        <rFont val="Aptos Narrow"/>
      </rPr>
      <t xml:space="preserve"> menggambarkan </t>
    </r>
    <r>
      <rPr>
        <b/>
        <sz val="12"/>
        <color theme="1"/>
        <rFont val="Aptos Narrow"/>
      </rPr>
      <t>usaha yang telah dikeluarkan</t>
    </r>
    <r>
      <rPr>
        <sz val="12"/>
        <color theme="1"/>
        <rFont val="Aptos Narrow"/>
      </rPr>
      <t xml:space="preserve"> dalam satuan waktu tertentu. Ini bisa berupa jumlah </t>
    </r>
    <r>
      <rPr>
        <b/>
        <sz val="12"/>
        <color theme="1"/>
        <rFont val="Aptos Narrow"/>
      </rPr>
      <t>jam kerja</t>
    </r>
    <r>
      <rPr>
        <sz val="12"/>
        <color theme="1"/>
        <rFont val="Aptos Narrow"/>
      </rPr>
      <t xml:space="preserve"> yang dihabiskan untuk menyelesaikan suatu tugas atau proyek.</t>
    </r>
  </si>
  <si>
    <t>Vi = Units of Effort Completed / Sprint Time.</t>
  </si>
  <si>
    <r>
      <rPr>
        <b/>
        <sz val="12"/>
        <color theme="1"/>
        <rFont val="Aptos Narrow"/>
      </rPr>
      <t>Duration</t>
    </r>
    <r>
      <rPr>
        <sz val="12"/>
        <color theme="1"/>
        <rFont val="Aptos Narrow"/>
      </rPr>
      <t xml:space="preserve"> adalah waktu yang dibutuhkan untuk menyelesaikan tugas tersebut, biasanya dalam satuan hari atau minggu.</t>
    </r>
  </si>
  <si>
    <t>sehingga pada dataset ziuadin sprint time adalah duration sedangkan units of effort compeleted adalah effort</t>
  </si>
  <si>
    <t>Vi = Effort / duration</t>
  </si>
  <si>
    <t>Vi</t>
  </si>
  <si>
    <t>Rata-rata MAE</t>
  </si>
  <si>
    <t>Pop Size</t>
  </si>
  <si>
    <t>Max Iter</t>
  </si>
  <si>
    <t>estEffort</t>
  </si>
  <si>
    <t>actEffort</t>
  </si>
  <si>
    <t>estEffortGACO</t>
  </si>
  <si>
    <t>estEffortZia</t>
  </si>
  <si>
    <t>Size (actualEffort)</t>
  </si>
  <si>
    <t>actualEffort(size)</t>
  </si>
  <si>
    <t>estEffortalgen</t>
  </si>
  <si>
    <t>gaco zia</t>
  </si>
  <si>
    <t>algen zia</t>
  </si>
  <si>
    <t>MAE</t>
  </si>
  <si>
    <t>effort estimation used ga with dataset zia</t>
  </si>
  <si>
    <t>Effort estimation used gaco with dataset maxwell</t>
  </si>
  <si>
    <t>estimasi usaha awal</t>
  </si>
  <si>
    <t>Estimasi Hibrida GA–ACO</t>
  </si>
  <si>
    <t>Estimasi Algoritma Genetika (GA)</t>
  </si>
  <si>
    <t>Upaya Aktual</t>
  </si>
  <si>
    <t>Estimasi Usaha Awal</t>
  </si>
  <si>
    <t>ga</t>
  </si>
  <si>
    <t>gaco</t>
  </si>
  <si>
    <t>Solusi Optimum GA dengan Dataset Maxwell</t>
  </si>
  <si>
    <t>Solusi Optimum GACO dengan dataset Maxwell</t>
  </si>
  <si>
    <t>Solusi Optimum GACO dengan dataset Ziauddin</t>
  </si>
  <si>
    <t>Solusi Optimum GA dengan dataset Ziauddin</t>
  </si>
  <si>
    <t>Solusi Optimum ga dan gaco dengan dataset ziauddin</t>
  </si>
  <si>
    <t>GACO</t>
  </si>
  <si>
    <t>GA</t>
  </si>
  <si>
    <t>Nilai Absolute digunakan untuk uji wilcoxon signed test rank</t>
  </si>
  <si>
    <t>nilai AE pada GACO dengan dataset Ziauddin</t>
  </si>
  <si>
    <t>nilai AE pada GA dengan dataset Ziauddin</t>
  </si>
  <si>
    <t>nilai AE pada GACO dengan dataset Maxwell</t>
  </si>
  <si>
    <t>nilai AE pada GA dengan dataset Maxwell</t>
  </si>
  <si>
    <t>AE GACO, ZIA</t>
  </si>
  <si>
    <t>AE GA, ZIA</t>
  </si>
  <si>
    <t>AE GA, MAXWELL</t>
  </si>
  <si>
    <t>AE GACO, MAXWELL</t>
  </si>
  <si>
    <t xml:space="preserve"> 0.02509048211584286,</t>
  </si>
  <si>
    <t xml:space="preserve">    0.0023156018600758443,</t>
  </si>
  <si>
    <t xml:space="preserve">    0.0077600736054606045,</t>
  </si>
  <si>
    <t xml:space="preserve">    27.010826909858466,</t>
  </si>
  <si>
    <t xml:space="preserve">    0.023904830461148663,</t>
  </si>
  <si>
    <t xml:space="preserve">    56.04833321322228,</t>
  </si>
  <si>
    <t xml:space="preserve">    0.0004883574653078426,</t>
  </si>
  <si>
    <t xml:space="preserve">    0.007326521676432662,</t>
  </si>
  <si>
    <t xml:space="preserve">    0.027185997366359516,</t>
  </si>
  <si>
    <t xml:space="preserve">    0.003816992462610358,</t>
  </si>
  <si>
    <t xml:space="preserve">    0.017663285690858288,</t>
  </si>
  <si>
    <t xml:space="preserve">    0.02637258794075592,</t>
  </si>
  <si>
    <t xml:space="preserve">    0.0032967151809373263,</t>
  </si>
  <si>
    <t xml:space="preserve">    0.00785677338292956,</t>
  </si>
  <si>
    <t xml:space="preserve">    0.008273320853341204,</t>
  </si>
  <si>
    <t xml:space="preserve">    0.016209084242021277,</t>
  </si>
  <si>
    <t xml:space="preserve">    0.016398198156124977,</t>
  </si>
  <si>
    <t xml:space="preserve">    0.025175745417911344,</t>
  </si>
  <si>
    <t xml:space="preserve">    0.021567529237245253,</t>
  </si>
  <si>
    <t xml:space="preserve">    0.016475463658132128,</t>
  </si>
  <si>
    <t xml:space="preserve">    0.016732581727488594,</t>
  </si>
  <si>
    <t xml:space="preserve"> 0.0036663034305348674,</t>
  </si>
  <si>
    <t xml:space="preserve">    0.009085118331327635,</t>
  </si>
  <si>
    <t xml:space="preserve">    0.001041792351564652,</t>
  </si>
  <si>
    <t xml:space="preserve">    23.955837325262934,</t>
  </si>
  <si>
    <t xml:space="preserve">    0.007668137332451863,</t>
  </si>
  <si>
    <t xml:space="preserve">    50.6829268292683,</t>
  </si>
  <si>
    <t xml:space="preserve">    0.0010750965282682046,</t>
  </si>
  <si>
    <t xml:space="preserve">    0.00011479576296835603,</t>
  </si>
  <si>
    <t xml:space="preserve">    0.002385975944086738,</t>
  </si>
  <si>
    <t xml:space="preserve">    0.0043233390584092035,</t>
  </si>
  <si>
    <t xml:space="preserve">    0.004609526942061848,</t>
  </si>
  <si>
    <t xml:space="preserve">    0.0024781000322562363,</t>
  </si>
  <si>
    <t xml:space="preserve">    0.0013733847097938678,</t>
  </si>
  <si>
    <t xml:space="preserve">    0.0018060249931224348,</t>
  </si>
  <si>
    <t xml:space="preserve">    0.0003522948156557959,</t>
  </si>
  <si>
    <t xml:space="preserve">    0.0014294328793909017,</t>
  </si>
  <si>
    <t xml:space="preserve">    0.0005184500227031208,</t>
  </si>
  <si>
    <t xml:space="preserve">    0.004122102363709246,</t>
  </si>
  <si>
    <t xml:space="preserve">    0.0068621292286081825,</t>
  </si>
  <si>
    <t xml:space="preserve">    0.0011985255624082924,</t>
  </si>
  <si>
    <t xml:space="preserve">    0.00022168203274475218,</t>
  </si>
  <si>
    <t xml:space="preserve"> 1453.6146631430515,</t>
  </si>
  <si>
    <t xml:space="preserve">    68.10361763959511,</t>
  </si>
  <si>
    <t xml:space="preserve">    520.0176136351073,</t>
  </si>
  <si>
    <t xml:space="preserve">    4035.3452885180322,</t>
  </si>
  <si>
    <t xml:space="preserve">    389.60959455313446,</t>
  </si>
  <si>
    <t xml:space="preserve">    601.1659140123028,</t>
  </si>
  <si>
    <t xml:space="preserve">    1207.9935853300535,</t>
  </si>
  <si>
    <t xml:space="preserve">    2349.921732923688,</t>
  </si>
  <si>
    <t xml:space="preserve">    2926.3136736392844,</t>
  </si>
  <si>
    <t xml:space="preserve">    945.5006695453865,</t>
  </si>
  <si>
    <t xml:space="preserve">    522.0224321079725,</t>
  </si>
  <si>
    <t xml:space="preserve">    358.9649474393213,</t>
  </si>
  <si>
    <t xml:space="preserve">    248.91679685133965,</t>
  </si>
  <si>
    <t xml:space="preserve">    660.5158470607474,</t>
  </si>
  <si>
    <t xml:space="preserve">    823.8689118472698,</t>
  </si>
  <si>
    <t xml:space="preserve">    277.7056413497287,</t>
  </si>
  <si>
    <t xml:space="preserve">    7507.405162274341,</t>
  </si>
  <si>
    <t xml:space="preserve">    4876.472150366699,</t>
  </si>
  <si>
    <t xml:space="preserve">    3444.18856467141,</t>
  </si>
  <si>
    <t xml:space="preserve">    1892.3838744955942,</t>
  </si>
  <si>
    <t xml:space="preserve">    2026.381887487346,</t>
  </si>
  <si>
    <t xml:space="preserve">    2015.1301826562776,</t>
  </si>
  <si>
    <t xml:space="preserve">    2421.8068108990606,</t>
  </si>
  <si>
    <t xml:space="preserve">    3206.7758734435433,</t>
  </si>
  <si>
    <t xml:space="preserve">    1958.3049467343753,</t>
  </si>
  <si>
    <t xml:space="preserve">    5998.804854457932,</t>
  </si>
  <si>
    <t xml:space="preserve">    212.07327111490423,</t>
  </si>
  <si>
    <t xml:space="preserve">    365.10806913170507,</t>
  </si>
  <si>
    <t xml:space="preserve">    703.1969689756728,</t>
  </si>
  <si>
    <t xml:space="preserve">    361.70937218909785,</t>
  </si>
  <si>
    <t xml:space="preserve">    526.7178840234106,</t>
  </si>
  <si>
    <t xml:space="preserve">    116.88529690637745,</t>
  </si>
  <si>
    <t xml:space="preserve">    191.9807306481096,</t>
  </si>
  <si>
    <t xml:space="preserve">    0.05497518026754733,</t>
  </si>
  <si>
    <t xml:space="preserve">    257.39168668411116,</t>
  </si>
  <si>
    <t xml:space="preserve">    668.6125248366882,</t>
  </si>
  <si>
    <t xml:space="preserve">    707.3979566715179,</t>
  </si>
  <si>
    <t xml:space="preserve">    4562.075785372979,</t>
  </si>
  <si>
    <t xml:space="preserve">    3134.9462560867523,</t>
  </si>
  <si>
    <t xml:space="preserve">    4348.195144547746,</t>
  </si>
  <si>
    <t xml:space="preserve">    533.5885205996326,</t>
  </si>
  <si>
    <t xml:space="preserve">    3183.4759872552454,</t>
  </si>
  <si>
    <t xml:space="preserve">    580.365754538055,</t>
  </si>
  <si>
    <t xml:space="preserve">    3429.1790383074604,</t>
  </si>
  <si>
    <t xml:space="preserve">    5049.143318730262,</t>
  </si>
  <si>
    <t xml:space="preserve">    3854.769682732167,</t>
  </si>
  <si>
    <t xml:space="preserve">    443.7090464025496,</t>
  </si>
  <si>
    <t xml:space="preserve">    6234.16211086505,</t>
  </si>
  <si>
    <t xml:space="preserve">    972.9960759355574,</t>
  </si>
  <si>
    <t xml:space="preserve">    2117.0050823801835,</t>
  </si>
  <si>
    <t xml:space="preserve">    1851.2102067700375,</t>
  </si>
  <si>
    <t xml:space="preserve">    1420.3579884129604,</t>
  </si>
  <si>
    <t xml:space="preserve">    2185.4309230657573,</t>
  </si>
  <si>
    <t xml:space="preserve">    4433.099447469027,</t>
  </si>
  <si>
    <t xml:space="preserve">    1842.240858308718,</t>
  </si>
  <si>
    <t xml:space="preserve">    818.8258704924913,</t>
  </si>
  <si>
    <t xml:space="preserve">    6304.785768821387,</t>
  </si>
  <si>
    <t xml:space="preserve">    3472.768693299179,</t>
  </si>
  <si>
    <t xml:space="preserve">    2682.326736439091,</t>
  </si>
  <si>
    <t xml:space="preserve">    2858.785397682399,</t>
  </si>
  <si>
    <t xml:space="preserve">    3947.157150647504,</t>
  </si>
  <si>
    <t xml:space="preserve">    16710.343358911792,</t>
  </si>
  <si>
    <t xml:space="preserve"> 0.43159543970341474,</t>
  </si>
  <si>
    <t xml:space="preserve">    0.028653023685592416,</t>
  </si>
  <si>
    <t xml:space="preserve">    0.027482880725699488,</t>
  </si>
  <si>
    <t xml:space="preserve">    202.94555614397223,</t>
  </si>
  <si>
    <t xml:space="preserve">    289.3190161275695,</t>
  </si>
  <si>
    <t xml:space="preserve">    0.23415631683241145,</t>
  </si>
  <si>
    <t xml:space="preserve">    474.8338578034037,</t>
  </si>
  <si>
    <t xml:space="preserve">    453.5689389736244,</t>
  </si>
  <si>
    <t xml:space="preserve">    687.7522456707027,</t>
  </si>
  <si>
    <t xml:space="preserve">    132.25407350517452,</t>
  </si>
  <si>
    <t xml:space="preserve">    0.24273185385902707,</t>
  </si>
  <si>
    <t xml:space="preserve">    1.0749530972477288,</t>
  </si>
  <si>
    <t xml:space="preserve">    70.19526967340622,</t>
  </si>
  <si>
    <t xml:space="preserve">    8.185687649970532,</t>
  </si>
  <si>
    <t xml:space="preserve">    95.2503002655165,</t>
  </si>
  <si>
    <t xml:space="preserve">    58.94646618380705,</t>
  </si>
  <si>
    <t xml:space="preserve">    1.0721458526375045,</t>
  </si>
  <si>
    <t xml:space="preserve">    1.0664010655382299,</t>
  </si>
  <si>
    <t xml:space="preserve">    463.03526997049266,</t>
  </si>
  <si>
    <t xml:space="preserve">    1095.1041088026914,</t>
  </si>
  <si>
    <t xml:space="preserve">    0.4857140556587183,</t>
  </si>
  <si>
    <t xml:space="preserve">    130.4749191018198,</t>
  </si>
  <si>
    <t xml:space="preserve">    306.4511327024402,</t>
  </si>
  <si>
    <t xml:space="preserve">    238.77379675360748,</t>
  </si>
  <si>
    <t xml:space="preserve">    0.08910178680929448,</t>
  </si>
  <si>
    <t xml:space="preserve">    0.24512229479023517,</t>
  </si>
  <si>
    <t xml:space="preserve">    0.04470054032131543,</t>
  </si>
  <si>
    <t xml:space="preserve">    0.01139538445056587,</t>
  </si>
  <si>
    <t xml:space="preserve">    24.58416195379209,</t>
  </si>
  <si>
    <t xml:space="preserve">    0.01999667878180844,</t>
  </si>
  <si>
    <t xml:space="preserve">    0.08168563625696379,</t>
  </si>
  <si>
    <t xml:space="preserve">    0.03334203988265472,</t>
  </si>
  <si>
    <t xml:space="preserve">    44.87047732286787,</t>
  </si>
  <si>
    <t xml:space="preserve">    0.40358626344846016,</t>
  </si>
  <si>
    <t xml:space="preserve">    0.02884673479502453,</t>
  </si>
  <si>
    <t xml:space="preserve">    0.03765212252051242,</t>
  </si>
  <si>
    <t xml:space="preserve">    0.4604173129090441,</t>
  </si>
  <si>
    <t xml:space="preserve">    1911.3944893327957,</t>
  </si>
  <si>
    <t xml:space="preserve">    1312.1805008732617,</t>
  </si>
  <si>
    <t xml:space="preserve">    1592.9769737216693,</t>
  </si>
  <si>
    <t xml:space="preserve">    270.8666263794628,</t>
  </si>
  <si>
    <t xml:space="preserve">    1838.2996757667297,</t>
  </si>
  <si>
    <t xml:space="preserve">    444.2595892103781,</t>
  </si>
  <si>
    <t xml:space="preserve">    2269.2314129979654,</t>
  </si>
  <si>
    <t xml:space="preserve">    2400.4109115646834,</t>
  </si>
  <si>
    <t xml:space="preserve">    1621.1926434494412,</t>
  </si>
  <si>
    <t xml:space="preserve">    225.68049246475118,</t>
  </si>
  <si>
    <t xml:space="preserve">    3892.177730696698,</t>
  </si>
  <si>
    <t xml:space="preserve">    364.5555391870712,</t>
  </si>
  <si>
    <t xml:space="preserve">    286.04163119395344,</t>
  </si>
  <si>
    <t xml:space="preserve">    1061.0399118076625,</t>
  </si>
  <si>
    <t xml:space="preserve">    695.4708724297484,</t>
  </si>
  <si>
    <t xml:space="preserve">    850.3264827407529,</t>
  </si>
  <si>
    <t xml:space="preserve">    3013.016125775554,</t>
  </si>
  <si>
    <t xml:space="preserve">    939.3261683679909,</t>
  </si>
  <si>
    <t xml:space="preserve">    544.2546637926217,</t>
  </si>
  <si>
    <t xml:space="preserve">    2486.990334410414,</t>
  </si>
  <si>
    <t xml:space="preserve">    1351.9005202624412,</t>
  </si>
  <si>
    <t xml:space="preserve">    1268.292182289487,</t>
  </si>
  <si>
    <t xml:space="preserve">    1288.9469636223016,</t>
  </si>
  <si>
    <t xml:space="preserve">    1677.9279767609492,</t>
  </si>
  <si>
    <t xml:space="preserve">    6409.638822523815,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</si>
</sst>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Aptos Narrow"/>
    </font>
    <font>
      <sz val="12"/>
      <name val="Aptos Narrow"/>
    </font>
    <font>
      <sz val="10"/>
      <color theme="1"/>
      <name val="Helvetica Neue"/>
      <family val="2"/>
    </font>
    <font>
      <b/>
      <sz val="11"/>
      <color theme="1"/>
      <name val="Aptos Narrow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Times New Roman&quot;"/>
    </font>
    <font>
      <sz val="12"/>
      <color theme="1"/>
      <name val="Aptos Narrow"/>
      <scheme val="minor"/>
    </font>
    <font>
      <b/>
      <sz val="12"/>
      <color theme="1"/>
      <name val="Aptos Narrow"/>
    </font>
    <font>
      <sz val="10"/>
      <color rgb="FF000000"/>
      <name val="Times New Roman"/>
      <family val="1"/>
    </font>
    <font>
      <sz val="12"/>
      <color rgb="FF000000"/>
      <name val="Aptos Narrow"/>
    </font>
    <font>
      <sz val="12"/>
      <color rgb="FFFF0000"/>
      <name val="Aptos Narrow"/>
    </font>
    <font>
      <sz val="11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4"/>
      <color rgb="FF000000"/>
      <name val="Helvetica Neue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83CAEB"/>
        <bgColor rgb="FF83CAEB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4D94D8"/>
        <bgColor rgb="FF4D94D8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/>
    <xf numFmtId="0" fontId="8" fillId="0" borderId="0" xfId="0" applyFont="1"/>
    <xf numFmtId="0" fontId="9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1" fillId="9" borderId="16" xfId="0" applyFont="1" applyFill="1" applyBorder="1"/>
    <xf numFmtId="0" fontId="3" fillId="9" borderId="16" xfId="0" applyFont="1" applyFill="1" applyBorder="1"/>
    <xf numFmtId="0" fontId="3" fillId="11" borderId="16" xfId="0" applyFont="1" applyFill="1" applyBorder="1"/>
    <xf numFmtId="0" fontId="11" fillId="0" borderId="0" xfId="0" applyFont="1"/>
    <xf numFmtId="0" fontId="3" fillId="1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2" borderId="16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4" borderId="8" xfId="0" applyFont="1" applyFill="1" applyBorder="1"/>
    <xf numFmtId="0" fontId="3" fillId="2" borderId="16" xfId="0" applyFont="1" applyFill="1" applyBorder="1"/>
    <xf numFmtId="0" fontId="3" fillId="12" borderId="2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16" xfId="0" applyFont="1" applyBorder="1"/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15" fillId="0" borderId="26" xfId="0" applyFont="1" applyBorder="1" applyAlignment="1">
      <alignment horizontal="center" vertical="center" wrapText="1"/>
    </xf>
    <xf numFmtId="10" fontId="0" fillId="0" borderId="0" xfId="0" applyNumberFormat="1"/>
    <xf numFmtId="9" fontId="0" fillId="0" borderId="0" xfId="0" applyNumberFormat="1"/>
    <xf numFmtId="0" fontId="0" fillId="0" borderId="28" xfId="0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25" xfId="0" applyBorder="1"/>
    <xf numFmtId="0" fontId="16" fillId="14" borderId="26" xfId="0" applyFont="1" applyFill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8" borderId="9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3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3" fillId="2" borderId="15" xfId="0" applyFont="1" applyFill="1" applyBorder="1" applyAlignment="1">
      <alignment horizontal="center" vertical="center"/>
    </xf>
    <xf numFmtId="0" fontId="4" fillId="0" borderId="17" xfId="0" applyFont="1" applyBorder="1"/>
    <xf numFmtId="0" fontId="12" fillId="11" borderId="12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3" fillId="4" borderId="9" xfId="0" applyFont="1" applyFill="1" applyBorder="1" applyAlignment="1">
      <alignment horizontal="center"/>
    </xf>
    <xf numFmtId="0" fontId="3" fillId="13" borderId="15" xfId="0" applyFont="1" applyFill="1" applyBorder="1" applyAlignment="1">
      <alignment horizontal="center" vertical="center" textRotation="90"/>
    </xf>
    <xf numFmtId="0" fontId="4" fillId="0" borderId="25" xfId="0" applyFont="1" applyBorder="1"/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Maksimal</a:t>
            </a:r>
            <a:r>
              <a:rPr lang="en-GB" baseline="0"/>
              <a:t> Iterasi ke-30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maxwell'!$C$6:$I$6</c:f>
              <c:numCache>
                <c:formatCode>0.00</c:formatCode>
                <c:ptCount val="7"/>
                <c:pt idx="0">
                  <c:v>5666.8689345714101</c:v>
                </c:pt>
                <c:pt idx="1">
                  <c:v>5214.4702604326303</c:v>
                </c:pt>
                <c:pt idx="2">
                  <c:v>5230.1483153807003</c:v>
                </c:pt>
                <c:pt idx="3">
                  <c:v>4642.8615098188602</c:v>
                </c:pt>
                <c:pt idx="4">
                  <c:v>4249.0656818315301</c:v>
                </c:pt>
                <c:pt idx="5">
                  <c:v>3932.9572665884298</c:v>
                </c:pt>
                <c:pt idx="6">
                  <c:v>4144.2319132354896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3-6F43-AB73-A0FA914C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691008"/>
        <c:axId val="398488176"/>
      </c:barChart>
      <c:catAx>
        <c:axId val="39869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88176"/>
        <c:crosses val="autoZero"/>
        <c:auto val="1"/>
        <c:lblAlgn val="ctr"/>
        <c:lblOffset val="100"/>
        <c:noMultiLvlLbl val="0"/>
      </c:catAx>
      <c:valAx>
        <c:axId val="3984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9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Ke-35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maxwell'!$C$7:$I$7</c:f>
              <c:numCache>
                <c:formatCode>0.00</c:formatCode>
                <c:ptCount val="7"/>
                <c:pt idx="0">
                  <c:v>5627.2602456987697</c:v>
                </c:pt>
                <c:pt idx="1">
                  <c:v>5212.41648333988</c:v>
                </c:pt>
                <c:pt idx="2">
                  <c:v>4601.1892499591104</c:v>
                </c:pt>
                <c:pt idx="3">
                  <c:v>4191.2205064961299</c:v>
                </c:pt>
                <c:pt idx="4">
                  <c:v>3842.1122134739198</c:v>
                </c:pt>
                <c:pt idx="5">
                  <c:v>3913.2070127166699</c:v>
                </c:pt>
                <c:pt idx="6">
                  <c:v>3930.9643554443201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0-3542-8308-B528ED40F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570224"/>
        <c:axId val="1989429568"/>
      </c:barChart>
      <c:catAx>
        <c:axId val="198957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29568"/>
        <c:crosses val="autoZero"/>
        <c:auto val="1"/>
        <c:lblAlgn val="ctr"/>
        <c:lblOffset val="100"/>
        <c:noMultiLvlLbl val="0"/>
      </c:catAx>
      <c:valAx>
        <c:axId val="19894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7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 40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maxwell'!$C$8:$I$8</c:f>
              <c:numCache>
                <c:formatCode>0.00</c:formatCode>
                <c:ptCount val="7"/>
                <c:pt idx="0">
                  <c:v>5286.2420442127004</c:v>
                </c:pt>
                <c:pt idx="1">
                  <c:v>4991.9675426898602</c:v>
                </c:pt>
                <c:pt idx="2">
                  <c:v>4438.9793925917102</c:v>
                </c:pt>
                <c:pt idx="3">
                  <c:v>4408.2852154638804</c:v>
                </c:pt>
                <c:pt idx="4">
                  <c:v>3616.9868912202801</c:v>
                </c:pt>
                <c:pt idx="5">
                  <c:v>3607.3369144694102</c:v>
                </c:pt>
                <c:pt idx="6">
                  <c:v>2968.0243130061699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7-DC4D-B36D-B1667BA88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492496"/>
        <c:axId val="113851087"/>
      </c:barChart>
      <c:catAx>
        <c:axId val="198649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1087"/>
        <c:crosses val="autoZero"/>
        <c:auto val="1"/>
        <c:lblAlgn val="ctr"/>
        <c:lblOffset val="100"/>
        <c:noMultiLvlLbl val="0"/>
      </c:catAx>
      <c:valAx>
        <c:axId val="1138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 45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maxwell'!$C$9:$I$9</c:f>
              <c:numCache>
                <c:formatCode>0.00</c:formatCode>
                <c:ptCount val="7"/>
                <c:pt idx="0">
                  <c:v>5245.6478736072104</c:v>
                </c:pt>
                <c:pt idx="1">
                  <c:v>4773.9981237403099</c:v>
                </c:pt>
                <c:pt idx="2">
                  <c:v>4204.8258123674304</c:v>
                </c:pt>
                <c:pt idx="3">
                  <c:v>3807.2029165390099</c:v>
                </c:pt>
                <c:pt idx="4">
                  <c:v>3436.2447303879799</c:v>
                </c:pt>
                <c:pt idx="5">
                  <c:v>3277.3585548434999</c:v>
                </c:pt>
                <c:pt idx="6">
                  <c:v>2939.6705703652101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2-0448-BC2B-1C02C7BD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058560"/>
        <c:axId val="2010779904"/>
      </c:barChart>
      <c:catAx>
        <c:axId val="201105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79904"/>
        <c:crosses val="autoZero"/>
        <c:auto val="1"/>
        <c:lblAlgn val="ctr"/>
        <c:lblOffset val="100"/>
        <c:noMultiLvlLbl val="0"/>
      </c:catAx>
      <c:valAx>
        <c:axId val="20107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5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 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maxwell'!$C$10:$I$10</c:f>
              <c:numCache>
                <c:formatCode>0.00</c:formatCode>
                <c:ptCount val="7"/>
                <c:pt idx="0">
                  <c:v>5027.2849115253102</c:v>
                </c:pt>
                <c:pt idx="1">
                  <c:v>4411.9650162316702</c:v>
                </c:pt>
                <c:pt idx="2">
                  <c:v>4126.2543816084599</c:v>
                </c:pt>
                <c:pt idx="3">
                  <c:v>3778.4580730339799</c:v>
                </c:pt>
                <c:pt idx="4">
                  <c:v>3098.8417016368699</c:v>
                </c:pt>
                <c:pt idx="5">
                  <c:v>2945.5336119356398</c:v>
                </c:pt>
                <c:pt idx="6">
                  <c:v>2708.2894174893099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D-8C44-AB5E-3356367B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714896"/>
        <c:axId val="1975834752"/>
      </c:barChart>
      <c:catAx>
        <c:axId val="206571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834752"/>
        <c:crosses val="autoZero"/>
        <c:auto val="1"/>
        <c:lblAlgn val="ctr"/>
        <c:lblOffset val="100"/>
        <c:noMultiLvlLbl val="0"/>
      </c:catAx>
      <c:valAx>
        <c:axId val="19758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1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55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maxwell'!$C$11:$I$11</c:f>
              <c:numCache>
                <c:formatCode>0.00</c:formatCode>
                <c:ptCount val="7"/>
                <c:pt idx="0">
                  <c:v>4988.6880366529504</c:v>
                </c:pt>
                <c:pt idx="1">
                  <c:v>4095.1468580170899</c:v>
                </c:pt>
                <c:pt idx="2">
                  <c:v>3844.0150089856702</c:v>
                </c:pt>
                <c:pt idx="3">
                  <c:v>3405.0515906240698</c:v>
                </c:pt>
                <c:pt idx="4">
                  <c:v>3131.74177110849</c:v>
                </c:pt>
                <c:pt idx="5">
                  <c:v>3146.84675700346</c:v>
                </c:pt>
                <c:pt idx="6">
                  <c:v>2410.3063589795602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4-2F42-B7F4-399E73D9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000112"/>
        <c:axId val="1976226432"/>
      </c:barChart>
      <c:catAx>
        <c:axId val="197600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26432"/>
        <c:crosses val="autoZero"/>
        <c:auto val="1"/>
        <c:lblAlgn val="ctr"/>
        <c:lblOffset val="100"/>
        <c:noMultiLvlLbl val="0"/>
      </c:catAx>
      <c:valAx>
        <c:axId val="19762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0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ke-60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'Solusi Optimum GA, maxwell'!$C$5:$I$5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cat>
          <c:val>
            <c:numRef>
              <c:f>'Solusi Optimum GA, maxwell'!$C$12:$I$12</c:f>
              <c:numCache>
                <c:formatCode>0.00</c:formatCode>
                <c:ptCount val="7"/>
                <c:pt idx="0">
                  <c:v>4543.1883620311301</c:v>
                </c:pt>
                <c:pt idx="1">
                  <c:v>4090.4734443740299</c:v>
                </c:pt>
                <c:pt idx="2">
                  <c:v>3666.5300643113301</c:v>
                </c:pt>
                <c:pt idx="3">
                  <c:v>3214.8609649981599</c:v>
                </c:pt>
                <c:pt idx="4">
                  <c:v>2826.2636666233602</c:v>
                </c:pt>
                <c:pt idx="5">
                  <c:v>2402.9345856034201</c:v>
                </c:pt>
                <c:pt idx="6">
                  <c:v>2319.66626092771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3-FF47-9B5F-D0DC427F7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032607"/>
        <c:axId val="145790368"/>
      </c:barChart>
      <c:catAx>
        <c:axId val="120503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Ukuran</a:t>
                </a:r>
                <a:r>
                  <a:rPr lang="en-GB" baseline="0"/>
                  <a:t> Populasi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90368"/>
        <c:crosses val="autoZero"/>
        <c:auto val="1"/>
        <c:lblAlgn val="ctr"/>
        <c:lblOffset val="100"/>
        <c:noMultiLvlLbl val="0"/>
      </c:catAx>
      <c:valAx>
        <c:axId val="1457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Absolute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03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30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maxwell'!$C$5:$I$5</c:f>
              <c:numCache>
                <c:formatCode>0.00</c:formatCode>
                <c:ptCount val="7"/>
                <c:pt idx="0">
                  <c:v>1820.93459581257</c:v>
                </c:pt>
                <c:pt idx="1">
                  <c:v>1736.69128259886</c:v>
                </c:pt>
                <c:pt idx="2">
                  <c:v>1668.4417639007399</c:v>
                </c:pt>
                <c:pt idx="3">
                  <c:v>1574.71270578958</c:v>
                </c:pt>
                <c:pt idx="4">
                  <c:v>1634.8928126984599</c:v>
                </c:pt>
                <c:pt idx="5">
                  <c:v>1469.3161824895899</c:v>
                </c:pt>
                <c:pt idx="6">
                  <c:v>1465.820619608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9-4942-ABC3-0F37501F3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40288"/>
        <c:axId val="164567248"/>
      </c:barChart>
      <c:catAx>
        <c:axId val="1638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67248"/>
        <c:crosses val="autoZero"/>
        <c:auto val="1"/>
        <c:lblAlgn val="ctr"/>
        <c:lblOffset val="100"/>
        <c:noMultiLvlLbl val="0"/>
      </c:catAx>
      <c:valAx>
        <c:axId val="1645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35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maxwell'!$C$6:$I$6</c:f>
              <c:numCache>
                <c:formatCode>0.00</c:formatCode>
                <c:ptCount val="7"/>
                <c:pt idx="0">
                  <c:v>1706.9334490820199</c:v>
                </c:pt>
                <c:pt idx="1">
                  <c:v>1846.7519918784001</c:v>
                </c:pt>
                <c:pt idx="2">
                  <c:v>1543.73409849782</c:v>
                </c:pt>
                <c:pt idx="3">
                  <c:v>1267.2673656578199</c:v>
                </c:pt>
                <c:pt idx="4">
                  <c:v>1405.40778018073</c:v>
                </c:pt>
                <c:pt idx="5">
                  <c:v>1261.04751528978</c:v>
                </c:pt>
                <c:pt idx="6">
                  <c:v>1247.54942828258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3-4149-AC72-F49931465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35840"/>
        <c:axId val="372847392"/>
      </c:barChart>
      <c:catAx>
        <c:axId val="1417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47392"/>
        <c:crosses val="autoZero"/>
        <c:auto val="1"/>
        <c:lblAlgn val="ctr"/>
        <c:lblOffset val="100"/>
        <c:noMultiLvlLbl val="0"/>
      </c:catAx>
      <c:valAx>
        <c:axId val="3728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40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maxwell'!$C$7:$I$7</c:f>
              <c:numCache>
                <c:formatCode>0.00</c:formatCode>
                <c:ptCount val="7"/>
                <c:pt idx="0">
                  <c:v>1921.9074973210099</c:v>
                </c:pt>
                <c:pt idx="1">
                  <c:v>1446.34564519944</c:v>
                </c:pt>
                <c:pt idx="2">
                  <c:v>1314.59698635058</c:v>
                </c:pt>
                <c:pt idx="3">
                  <c:v>1315.11019588107</c:v>
                </c:pt>
                <c:pt idx="4">
                  <c:v>1182.31991228431</c:v>
                </c:pt>
                <c:pt idx="5">
                  <c:v>1286.37483020739</c:v>
                </c:pt>
                <c:pt idx="6">
                  <c:v>1079.0645860462701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AF48-9EBC-4A5C62ED5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916016"/>
        <c:axId val="228138736"/>
      </c:barChart>
      <c:catAx>
        <c:axId val="199291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38736"/>
        <c:crosses val="autoZero"/>
        <c:auto val="1"/>
        <c:lblAlgn val="ctr"/>
        <c:lblOffset val="100"/>
        <c:noMultiLvlLbl val="0"/>
      </c:catAx>
      <c:valAx>
        <c:axId val="2281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1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45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maxwell'!$C$8:$I$8</c:f>
              <c:numCache>
                <c:formatCode>0.00</c:formatCode>
                <c:ptCount val="7"/>
                <c:pt idx="0">
                  <c:v>1688.7801735999001</c:v>
                </c:pt>
                <c:pt idx="1">
                  <c:v>1368.5532061530901</c:v>
                </c:pt>
                <c:pt idx="2">
                  <c:v>1164.2369788810299</c:v>
                </c:pt>
                <c:pt idx="3">
                  <c:v>1090.50607262075</c:v>
                </c:pt>
                <c:pt idx="4">
                  <c:v>1009.70005790985</c:v>
                </c:pt>
                <c:pt idx="5">
                  <c:v>898.17643011861605</c:v>
                </c:pt>
                <c:pt idx="6">
                  <c:v>885.079837016694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1-AF44-82B0-FDCBC764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589808"/>
        <c:axId val="1992933456"/>
      </c:barChart>
      <c:catAx>
        <c:axId val="199258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33456"/>
        <c:crosses val="autoZero"/>
        <c:auto val="1"/>
        <c:lblAlgn val="ctr"/>
        <c:lblOffset val="100"/>
        <c:noMultiLvlLbl val="0"/>
      </c:catAx>
      <c:valAx>
        <c:axId val="19929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8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maxwell'!$C$9:$I$9</c:f>
              <c:numCache>
                <c:formatCode>0.00</c:formatCode>
                <c:ptCount val="7"/>
                <c:pt idx="0">
                  <c:v>1454.71680029851</c:v>
                </c:pt>
                <c:pt idx="1">
                  <c:v>1238.6827169179501</c:v>
                </c:pt>
                <c:pt idx="2">
                  <c:v>1152.0547628771801</c:v>
                </c:pt>
                <c:pt idx="3">
                  <c:v>1087.61477542541</c:v>
                </c:pt>
                <c:pt idx="4">
                  <c:v>1026.5764796946</c:v>
                </c:pt>
                <c:pt idx="5">
                  <c:v>837.45483638447399</c:v>
                </c:pt>
                <c:pt idx="6">
                  <c:v>866.414893045555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9-2C4F-A397-5A1ADABFA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454624"/>
        <c:axId val="228314032"/>
      </c:barChart>
      <c:catAx>
        <c:axId val="199245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14032"/>
        <c:crosses val="autoZero"/>
        <c:auto val="1"/>
        <c:lblAlgn val="ctr"/>
        <c:lblOffset val="100"/>
        <c:noMultiLvlLbl val="0"/>
      </c:catAx>
      <c:valAx>
        <c:axId val="2283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5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55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maxwell'!$C$10:$I$10</c:f>
              <c:numCache>
                <c:formatCode>0.00</c:formatCode>
                <c:ptCount val="7"/>
                <c:pt idx="0">
                  <c:v>1424.1009638092701</c:v>
                </c:pt>
                <c:pt idx="1">
                  <c:v>1214.04001125338</c:v>
                </c:pt>
                <c:pt idx="2">
                  <c:v>943.421802271773</c:v>
                </c:pt>
                <c:pt idx="3">
                  <c:v>974.01742872271495</c:v>
                </c:pt>
                <c:pt idx="4">
                  <c:v>860.74281237254797</c:v>
                </c:pt>
                <c:pt idx="5">
                  <c:v>810.16527025437097</c:v>
                </c:pt>
                <c:pt idx="6">
                  <c:v>778.85846841243801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2-1442-8353-93B09B872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646176"/>
        <c:axId val="227658688"/>
      </c:barChart>
      <c:catAx>
        <c:axId val="199264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58688"/>
        <c:crosses val="autoZero"/>
        <c:auto val="1"/>
        <c:lblAlgn val="ctr"/>
        <c:lblOffset val="100"/>
        <c:noMultiLvlLbl val="0"/>
      </c:catAx>
      <c:valAx>
        <c:axId val="2276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64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60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'Solusi Optimum gaco, maxwell'!$C$4:$I$4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cat>
          <c:val>
            <c:numRef>
              <c:f>'Solusi Optimum gaco, maxwell'!$C$11:$I$11</c:f>
              <c:numCache>
                <c:formatCode>0.00</c:formatCode>
                <c:ptCount val="7"/>
                <c:pt idx="0">
                  <c:v>1115.64380101242</c:v>
                </c:pt>
                <c:pt idx="1">
                  <c:v>1165.99326567664</c:v>
                </c:pt>
                <c:pt idx="2">
                  <c:v>855.42774899593098</c:v>
                </c:pt>
                <c:pt idx="3">
                  <c:v>807.42108184627796</c:v>
                </c:pt>
                <c:pt idx="4">
                  <c:v>728.48250342536903</c:v>
                </c:pt>
                <c:pt idx="5">
                  <c:v>697.02513909167806</c:v>
                </c:pt>
                <c:pt idx="6">
                  <c:v>722.565551622714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B-FF4E-942A-CF77CC70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28144"/>
        <c:axId val="140839056"/>
      </c:barChart>
      <c:catAx>
        <c:axId val="16452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Ukuran</a:t>
                </a:r>
                <a:r>
                  <a:rPr lang="en-GB" baseline="0"/>
                  <a:t> Populasi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9056"/>
        <c:crosses val="autoZero"/>
        <c:auto val="1"/>
        <c:lblAlgn val="ctr"/>
        <c:lblOffset val="100"/>
        <c:noMultiLvlLbl val="0"/>
      </c:catAx>
      <c:valAx>
        <c:axId val="1408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Absolute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ke-30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zia'!$C$6:$I$6</c:f>
              <c:numCache>
                <c:formatCode>0.00</c:formatCode>
                <c:ptCount val="7"/>
                <c:pt idx="0">
                  <c:v>4.1795803122172002</c:v>
                </c:pt>
                <c:pt idx="1">
                  <c:v>3.9810931441281698</c:v>
                </c:pt>
                <c:pt idx="2">
                  <c:v>3.90111410921011</c:v>
                </c:pt>
                <c:pt idx="3">
                  <c:v>3.8578277662732101</c:v>
                </c:pt>
                <c:pt idx="4">
                  <c:v>3.6961529118829501</c:v>
                </c:pt>
                <c:pt idx="5">
                  <c:v>3.93475769867801</c:v>
                </c:pt>
                <c:pt idx="6">
                  <c:v>3.8333849871928001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6-E841-845E-E9B033AF3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485584"/>
        <c:axId val="1989263776"/>
      </c:barChart>
      <c:catAx>
        <c:axId val="20664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63776"/>
        <c:crosses val="autoZero"/>
        <c:auto val="1"/>
        <c:lblAlgn val="ctr"/>
        <c:lblOffset val="100"/>
        <c:noMultiLvlLbl val="0"/>
      </c:catAx>
      <c:valAx>
        <c:axId val="19892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4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 35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zia'!$C$7:$I$7</c:f>
              <c:numCache>
                <c:formatCode>0.00</c:formatCode>
                <c:ptCount val="7"/>
                <c:pt idx="0">
                  <c:v>3.9397202763316401</c:v>
                </c:pt>
                <c:pt idx="1">
                  <c:v>3.8833159004483901</c:v>
                </c:pt>
                <c:pt idx="2">
                  <c:v>3.9750994326189999</c:v>
                </c:pt>
                <c:pt idx="3">
                  <c:v>3.9755485631951202</c:v>
                </c:pt>
                <c:pt idx="4">
                  <c:v>3.7693745888013801</c:v>
                </c:pt>
                <c:pt idx="5">
                  <c:v>3.9179785642970502</c:v>
                </c:pt>
                <c:pt idx="6">
                  <c:v>3.7998399110466998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F-C341-A19C-0A307040A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624976"/>
        <c:axId val="84269455"/>
      </c:barChart>
      <c:catAx>
        <c:axId val="20656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9455"/>
        <c:crosses val="autoZero"/>
        <c:auto val="1"/>
        <c:lblAlgn val="ctr"/>
        <c:lblOffset val="100"/>
        <c:noMultiLvlLbl val="0"/>
      </c:catAx>
      <c:valAx>
        <c:axId val="8426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2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ke-40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zia'!$C$8:$I$8</c:f>
              <c:numCache>
                <c:formatCode>0.00</c:formatCode>
                <c:ptCount val="7"/>
                <c:pt idx="0">
                  <c:v>3.8357769840819498</c:v>
                </c:pt>
                <c:pt idx="1">
                  <c:v>3.81612676644531</c:v>
                </c:pt>
                <c:pt idx="2">
                  <c:v>3.8189844354284501</c:v>
                </c:pt>
                <c:pt idx="3">
                  <c:v>3.7359754479183702</c:v>
                </c:pt>
                <c:pt idx="4">
                  <c:v>3.6659478467919402</c:v>
                </c:pt>
                <c:pt idx="5">
                  <c:v>3.7448787025344501</c:v>
                </c:pt>
                <c:pt idx="6">
                  <c:v>3.6951531233575601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A-564D-8B1C-5FF0D3114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901056"/>
        <c:axId val="374097376"/>
      </c:barChart>
      <c:catAx>
        <c:axId val="3779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097376"/>
        <c:crosses val="autoZero"/>
        <c:auto val="1"/>
        <c:lblAlgn val="ctr"/>
        <c:lblOffset val="100"/>
        <c:noMultiLvlLbl val="0"/>
      </c:catAx>
      <c:valAx>
        <c:axId val="37409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ke-45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zia'!$C$9:$I$9</c:f>
              <c:numCache>
                <c:formatCode>0.00</c:formatCode>
                <c:ptCount val="7"/>
                <c:pt idx="0">
                  <c:v>3.7996176204091898</c:v>
                </c:pt>
                <c:pt idx="1">
                  <c:v>3.71816775082611</c:v>
                </c:pt>
                <c:pt idx="2">
                  <c:v>3.8005434920567698</c:v>
                </c:pt>
                <c:pt idx="3">
                  <c:v>3.7947986322529901</c:v>
                </c:pt>
                <c:pt idx="4">
                  <c:v>3.6266725004625902</c:v>
                </c:pt>
                <c:pt idx="5">
                  <c:v>3.8084781932391398</c:v>
                </c:pt>
                <c:pt idx="6">
                  <c:v>3.7023453983832399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8-E242-9CDE-074EA80B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386576"/>
        <c:axId val="1433156064"/>
      </c:barChart>
      <c:catAx>
        <c:axId val="198938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56064"/>
        <c:crosses val="autoZero"/>
        <c:auto val="1"/>
        <c:lblAlgn val="ctr"/>
        <c:lblOffset val="100"/>
        <c:noMultiLvlLbl val="0"/>
      </c:catAx>
      <c:valAx>
        <c:axId val="14331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8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zia'!$C$10:$I$10</c:f>
              <c:numCache>
                <c:formatCode>0.00</c:formatCode>
                <c:ptCount val="7"/>
                <c:pt idx="0">
                  <c:v>3.77954757502417</c:v>
                </c:pt>
                <c:pt idx="1">
                  <c:v>3.8947741242165801</c:v>
                </c:pt>
                <c:pt idx="2">
                  <c:v>3.92179201358798</c:v>
                </c:pt>
                <c:pt idx="3">
                  <c:v>3.7271132538786098</c:v>
                </c:pt>
                <c:pt idx="4">
                  <c:v>3.57454979571627</c:v>
                </c:pt>
                <c:pt idx="5">
                  <c:v>3.7619969714063801</c:v>
                </c:pt>
                <c:pt idx="6">
                  <c:v>3.6197722890361899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7-FC4D-A1D7-30097D407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395504"/>
        <c:axId val="429630576"/>
      </c:barChart>
      <c:catAx>
        <c:axId val="3913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30576"/>
        <c:crosses val="autoZero"/>
        <c:auto val="1"/>
        <c:lblAlgn val="ctr"/>
        <c:lblOffset val="100"/>
        <c:noMultiLvlLbl val="0"/>
      </c:catAx>
      <c:valAx>
        <c:axId val="4296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9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ke-55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'solusi optimum gaco, zia'!$C$5:$I$5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cat>
          <c:val>
            <c:numRef>
              <c:f>'solusi optimum gaco, zia'!$C$11:$I$11</c:f>
              <c:numCache>
                <c:formatCode>0.00</c:formatCode>
                <c:ptCount val="7"/>
                <c:pt idx="0">
                  <c:v>3.7945169607012601</c:v>
                </c:pt>
                <c:pt idx="1">
                  <c:v>3.7893129552171598</c:v>
                </c:pt>
                <c:pt idx="2">
                  <c:v>3.74445911814967</c:v>
                </c:pt>
                <c:pt idx="3">
                  <c:v>3.6248094848581398</c:v>
                </c:pt>
                <c:pt idx="4">
                  <c:v>3.5008150152904101</c:v>
                </c:pt>
                <c:pt idx="5">
                  <c:v>3.7240514330773902</c:v>
                </c:pt>
                <c:pt idx="6">
                  <c:v>3.6307083599896202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7-B943-BB0E-6712B6FE0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474720"/>
        <c:axId val="369164720"/>
      </c:barChart>
      <c:catAx>
        <c:axId val="36947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Ukuran</a:t>
                </a:r>
                <a:r>
                  <a:rPr lang="en-GB" baseline="0"/>
                  <a:t> Populasi Optimum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64720"/>
        <c:crosses val="autoZero"/>
        <c:auto val="1"/>
        <c:lblAlgn val="ctr"/>
        <c:lblOffset val="100"/>
        <c:noMultiLvlLbl val="0"/>
      </c:catAx>
      <c:valAx>
        <c:axId val="3691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Absolute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7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ke-60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gaco, zia'!$C$12:$I$12</c:f>
              <c:numCache>
                <c:formatCode>0.00</c:formatCode>
                <c:ptCount val="7"/>
                <c:pt idx="0">
                  <c:v>3.87515889587009</c:v>
                </c:pt>
                <c:pt idx="1">
                  <c:v>3.70880448729066</c:v>
                </c:pt>
                <c:pt idx="2">
                  <c:v>3.7214346049415101</c:v>
                </c:pt>
                <c:pt idx="3">
                  <c:v>3.6198883998354598</c:v>
                </c:pt>
                <c:pt idx="4">
                  <c:v>3.6303067336441299</c:v>
                </c:pt>
                <c:pt idx="5">
                  <c:v>3.6811216232117201</c:v>
                </c:pt>
                <c:pt idx="6">
                  <c:v>3.5568141127072899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1-E14D-AD90-E7ECF5F33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23103"/>
        <c:axId val="1967644384"/>
      </c:barChart>
      <c:catAx>
        <c:axId val="11912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644384"/>
        <c:crosses val="autoZero"/>
        <c:auto val="1"/>
        <c:lblAlgn val="ctr"/>
        <c:lblOffset val="100"/>
        <c:noMultiLvlLbl val="0"/>
      </c:catAx>
      <c:valAx>
        <c:axId val="19676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2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</a:t>
            </a:r>
            <a:r>
              <a:rPr lang="en-GB" baseline="0"/>
              <a:t>i ke-30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zia'!$C$5:$I$5</c:f>
              <c:numCache>
                <c:formatCode>0.00</c:formatCode>
                <c:ptCount val="7"/>
                <c:pt idx="0">
                  <c:v>5.6586378407137001</c:v>
                </c:pt>
                <c:pt idx="1">
                  <c:v>5.41224279397741</c:v>
                </c:pt>
                <c:pt idx="2">
                  <c:v>4.7061333952361899</c:v>
                </c:pt>
                <c:pt idx="3">
                  <c:v>4.9308099335128297</c:v>
                </c:pt>
                <c:pt idx="4">
                  <c:v>4.6095926735562198</c:v>
                </c:pt>
                <c:pt idx="5">
                  <c:v>4.9844492754275702</c:v>
                </c:pt>
                <c:pt idx="6">
                  <c:v>4.68590311390889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4-3E4B-B143-C5D07DE87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138208"/>
        <c:axId val="398286784"/>
      </c:barChart>
      <c:catAx>
        <c:axId val="39813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86784"/>
        <c:crosses val="autoZero"/>
        <c:auto val="1"/>
        <c:lblAlgn val="ctr"/>
        <c:lblOffset val="100"/>
        <c:noMultiLvlLbl val="0"/>
      </c:catAx>
      <c:valAx>
        <c:axId val="3982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3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ke-35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zia'!$C$6:$I$6</c:f>
              <c:numCache>
                <c:formatCode>0.00</c:formatCode>
                <c:ptCount val="7"/>
                <c:pt idx="0">
                  <c:v>6.0268985054083002</c:v>
                </c:pt>
                <c:pt idx="1">
                  <c:v>5.7850549158889599</c:v>
                </c:pt>
                <c:pt idx="2">
                  <c:v>4.9504796309900101</c:v>
                </c:pt>
                <c:pt idx="3">
                  <c:v>5.1537001646128102</c:v>
                </c:pt>
                <c:pt idx="4">
                  <c:v>4.5467398842792202</c:v>
                </c:pt>
                <c:pt idx="5">
                  <c:v>4.5198224923081298</c:v>
                </c:pt>
                <c:pt idx="6">
                  <c:v>4.6847629160870001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7-1D48-AA81-18F8B8CD1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913648"/>
        <c:axId val="369287184"/>
      </c:barChart>
      <c:catAx>
        <c:axId val="3699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87184"/>
        <c:crosses val="autoZero"/>
        <c:auto val="1"/>
        <c:lblAlgn val="ctr"/>
        <c:lblOffset val="100"/>
        <c:noMultiLvlLbl val="0"/>
      </c:catAx>
      <c:valAx>
        <c:axId val="36928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1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ke-40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zia'!$C$7:$I$7</c:f>
              <c:numCache>
                <c:formatCode>0.00</c:formatCode>
                <c:ptCount val="7"/>
                <c:pt idx="0">
                  <c:v>5.4711256246900497</c:v>
                </c:pt>
                <c:pt idx="1">
                  <c:v>4.5689951562554496</c:v>
                </c:pt>
                <c:pt idx="2">
                  <c:v>4.9921881480796104</c:v>
                </c:pt>
                <c:pt idx="3">
                  <c:v>4.5497562836728296</c:v>
                </c:pt>
                <c:pt idx="4">
                  <c:v>4.1689333429151496</c:v>
                </c:pt>
                <c:pt idx="5">
                  <c:v>4.5099148169658498</c:v>
                </c:pt>
                <c:pt idx="6">
                  <c:v>4.4174341748043604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0-FD49-B13B-80C542A3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401216"/>
        <c:axId val="2050345040"/>
      </c:barChart>
      <c:catAx>
        <c:axId val="20104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45040"/>
        <c:crosses val="autoZero"/>
        <c:auto val="1"/>
        <c:lblAlgn val="ctr"/>
        <c:lblOffset val="100"/>
        <c:noMultiLvlLbl val="0"/>
      </c:catAx>
      <c:valAx>
        <c:axId val="205034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0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ke-45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zia'!$C$8:$I$8</c:f>
              <c:numCache>
                <c:formatCode>0.00</c:formatCode>
                <c:ptCount val="7"/>
                <c:pt idx="0">
                  <c:v>5.1313730785478402</c:v>
                </c:pt>
                <c:pt idx="1">
                  <c:v>5.5302333018591803</c:v>
                </c:pt>
                <c:pt idx="2">
                  <c:v>4.4835409249613196</c:v>
                </c:pt>
                <c:pt idx="3">
                  <c:v>4.9160093997207701</c:v>
                </c:pt>
                <c:pt idx="4">
                  <c:v>4.3272577853818603</c:v>
                </c:pt>
                <c:pt idx="5">
                  <c:v>4.2273615643617601</c:v>
                </c:pt>
                <c:pt idx="6">
                  <c:v>4.1058612016383496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5-0547-82B7-8EDF2D90B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10624"/>
        <c:axId val="143745168"/>
      </c:barChart>
      <c:catAx>
        <c:axId val="1982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5168"/>
        <c:crosses val="autoZero"/>
        <c:auto val="1"/>
        <c:lblAlgn val="ctr"/>
        <c:lblOffset val="100"/>
        <c:noMultiLvlLbl val="0"/>
      </c:catAx>
      <c:valAx>
        <c:axId val="1437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1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'solusi optimum ga, zia'!$C$9:$I$9</c:f>
              <c:numCache>
                <c:formatCode>0.00</c:formatCode>
                <c:ptCount val="7"/>
                <c:pt idx="0">
                  <c:v>4.8299771065424402</c:v>
                </c:pt>
                <c:pt idx="1">
                  <c:v>4.6141141310016396</c:v>
                </c:pt>
                <c:pt idx="2">
                  <c:v>4.5581799110589598</c:v>
                </c:pt>
                <c:pt idx="3">
                  <c:v>4.4407837554643104</c:v>
                </c:pt>
                <c:pt idx="4">
                  <c:v>4.28056521866342</c:v>
                </c:pt>
                <c:pt idx="5">
                  <c:v>3.9248568682663301</c:v>
                </c:pt>
                <c:pt idx="6">
                  <c:v>4.00249035612193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7-A14F-A305-E73E4EF24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95008"/>
        <c:axId val="369681584"/>
      </c:barChart>
      <c:catAx>
        <c:axId val="3696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81584"/>
        <c:crosses val="autoZero"/>
        <c:auto val="1"/>
        <c:lblAlgn val="ctr"/>
        <c:lblOffset val="100"/>
        <c:noMultiLvlLbl val="0"/>
      </c:catAx>
      <c:valAx>
        <c:axId val="3696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9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ke-55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'solusi optimum ga, zia'!$C$4:$I$4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cat>
          <c:val>
            <c:numRef>
              <c:f>'solusi optimum ga, zia'!$C$10:$I$10</c:f>
              <c:numCache>
                <c:formatCode>0.00</c:formatCode>
                <c:ptCount val="7"/>
                <c:pt idx="0">
                  <c:v>4.7576764662808202</c:v>
                </c:pt>
                <c:pt idx="1">
                  <c:v>5.18405725803414</c:v>
                </c:pt>
                <c:pt idx="2">
                  <c:v>4.6266538144252403</c:v>
                </c:pt>
                <c:pt idx="3">
                  <c:v>4.3892845991191098</c:v>
                </c:pt>
                <c:pt idx="4">
                  <c:v>4.1195119038035202</c:v>
                </c:pt>
                <c:pt idx="5">
                  <c:v>3.9259301307995198</c:v>
                </c:pt>
                <c:pt idx="6">
                  <c:v>3.8780232041259999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6-9B4E-BABB-1F1B3F36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11728"/>
        <c:axId val="163614688"/>
      </c:barChart>
      <c:catAx>
        <c:axId val="19911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Ukuran</a:t>
                </a:r>
                <a:r>
                  <a:rPr lang="en-GB" baseline="0"/>
                  <a:t> Populasi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4688"/>
        <c:crosses val="autoZero"/>
        <c:auto val="1"/>
        <c:lblAlgn val="ctr"/>
        <c:lblOffset val="100"/>
        <c:noMultiLvlLbl val="0"/>
      </c:catAx>
      <c:valAx>
        <c:axId val="1636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Absolute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1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Iterasi</a:t>
            </a:r>
            <a:r>
              <a:rPr lang="en-GB" baseline="0"/>
              <a:t> ke-60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'solusi optimum ga, zia'!$C$4:$I$4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cat>
          <c:val>
            <c:numRef>
              <c:f>'solusi optimum ga, zia'!$C$11:$I$11</c:f>
              <c:numCache>
                <c:formatCode>0.00</c:formatCode>
                <c:ptCount val="7"/>
                <c:pt idx="0">
                  <c:v>4.72636595522492</c:v>
                </c:pt>
                <c:pt idx="1">
                  <c:v>4.5505808761170901</c:v>
                </c:pt>
                <c:pt idx="2">
                  <c:v>4.4406453740728198</c:v>
                </c:pt>
                <c:pt idx="3">
                  <c:v>4.22294692541006</c:v>
                </c:pt>
                <c:pt idx="4">
                  <c:v>4.0144356839087099</c:v>
                </c:pt>
                <c:pt idx="5">
                  <c:v>4.0332667271900302</c:v>
                </c:pt>
                <c:pt idx="6">
                  <c:v>3.9682414412181699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3-804C-9928-FF0FB82A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943184"/>
        <c:axId val="2038595376"/>
      </c:barChart>
      <c:catAx>
        <c:axId val="2289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Ukuran</a:t>
                </a:r>
                <a:r>
                  <a:rPr lang="en-GB" baseline="0"/>
                  <a:t> Populasi Optimum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95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85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</a:t>
                </a:r>
                <a:r>
                  <a:rPr lang="en-GB" baseline="0"/>
                  <a:t> Absolute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es'!$A$2:$A$63</c:f>
              <c:numCache>
                <c:formatCode>General</c:formatCode>
                <c:ptCount val="62"/>
                <c:pt idx="0">
                  <c:v>7871</c:v>
                </c:pt>
                <c:pt idx="1">
                  <c:v>845</c:v>
                </c:pt>
                <c:pt idx="2">
                  <c:v>2330</c:v>
                </c:pt>
                <c:pt idx="3">
                  <c:v>21272</c:v>
                </c:pt>
                <c:pt idx="4">
                  <c:v>4224</c:v>
                </c:pt>
                <c:pt idx="5">
                  <c:v>2826</c:v>
                </c:pt>
                <c:pt idx="6">
                  <c:v>7320</c:v>
                </c:pt>
                <c:pt idx="7">
                  <c:v>9125</c:v>
                </c:pt>
                <c:pt idx="8">
                  <c:v>11900</c:v>
                </c:pt>
                <c:pt idx="9">
                  <c:v>4300</c:v>
                </c:pt>
                <c:pt idx="10">
                  <c:v>4150</c:v>
                </c:pt>
                <c:pt idx="11">
                  <c:v>900</c:v>
                </c:pt>
                <c:pt idx="12">
                  <c:v>583</c:v>
                </c:pt>
                <c:pt idx="13">
                  <c:v>2565</c:v>
                </c:pt>
                <c:pt idx="14">
                  <c:v>4047</c:v>
                </c:pt>
                <c:pt idx="15">
                  <c:v>1520</c:v>
                </c:pt>
                <c:pt idx="16">
                  <c:v>25910</c:v>
                </c:pt>
                <c:pt idx="17">
                  <c:v>37286</c:v>
                </c:pt>
                <c:pt idx="18">
                  <c:v>15052</c:v>
                </c:pt>
                <c:pt idx="19">
                  <c:v>11039</c:v>
                </c:pt>
                <c:pt idx="20">
                  <c:v>18500</c:v>
                </c:pt>
                <c:pt idx="21">
                  <c:v>9369</c:v>
                </c:pt>
                <c:pt idx="22">
                  <c:v>7184</c:v>
                </c:pt>
                <c:pt idx="23">
                  <c:v>10447</c:v>
                </c:pt>
                <c:pt idx="24">
                  <c:v>5100</c:v>
                </c:pt>
                <c:pt idx="25">
                  <c:v>63694</c:v>
                </c:pt>
                <c:pt idx="26">
                  <c:v>1651</c:v>
                </c:pt>
                <c:pt idx="27">
                  <c:v>1450</c:v>
                </c:pt>
                <c:pt idx="28">
                  <c:v>1745</c:v>
                </c:pt>
                <c:pt idx="29">
                  <c:v>1798</c:v>
                </c:pt>
                <c:pt idx="30">
                  <c:v>2957</c:v>
                </c:pt>
                <c:pt idx="31">
                  <c:v>963</c:v>
                </c:pt>
                <c:pt idx="32">
                  <c:v>1233</c:v>
                </c:pt>
                <c:pt idx="33">
                  <c:v>3240</c:v>
                </c:pt>
                <c:pt idx="34">
                  <c:v>10000</c:v>
                </c:pt>
                <c:pt idx="35">
                  <c:v>6800</c:v>
                </c:pt>
                <c:pt idx="36">
                  <c:v>3850</c:v>
                </c:pt>
                <c:pt idx="37">
                  <c:v>14000</c:v>
                </c:pt>
                <c:pt idx="38">
                  <c:v>5787</c:v>
                </c:pt>
                <c:pt idx="39">
                  <c:v>9700</c:v>
                </c:pt>
                <c:pt idx="40">
                  <c:v>1100</c:v>
                </c:pt>
                <c:pt idx="41">
                  <c:v>5578</c:v>
                </c:pt>
                <c:pt idx="42">
                  <c:v>1060</c:v>
                </c:pt>
                <c:pt idx="43">
                  <c:v>5279</c:v>
                </c:pt>
                <c:pt idx="44">
                  <c:v>8117</c:v>
                </c:pt>
                <c:pt idx="45">
                  <c:v>8710</c:v>
                </c:pt>
                <c:pt idx="46">
                  <c:v>796</c:v>
                </c:pt>
                <c:pt idx="47">
                  <c:v>11023</c:v>
                </c:pt>
                <c:pt idx="48">
                  <c:v>1755</c:v>
                </c:pt>
                <c:pt idx="49">
                  <c:v>5931</c:v>
                </c:pt>
                <c:pt idx="50">
                  <c:v>4456</c:v>
                </c:pt>
                <c:pt idx="51">
                  <c:v>3600</c:v>
                </c:pt>
                <c:pt idx="52">
                  <c:v>4557</c:v>
                </c:pt>
                <c:pt idx="53">
                  <c:v>8752</c:v>
                </c:pt>
                <c:pt idx="54">
                  <c:v>3440</c:v>
                </c:pt>
                <c:pt idx="55">
                  <c:v>1981</c:v>
                </c:pt>
                <c:pt idx="56">
                  <c:v>13700</c:v>
                </c:pt>
                <c:pt idx="57">
                  <c:v>7105</c:v>
                </c:pt>
                <c:pt idx="58">
                  <c:v>6816</c:v>
                </c:pt>
                <c:pt idx="59">
                  <c:v>4620</c:v>
                </c:pt>
                <c:pt idx="60">
                  <c:v>7451</c:v>
                </c:pt>
                <c:pt idx="61">
                  <c:v>39479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A-F640-8EE4-7351AE0EB9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es'!$B$2:$B$63</c:f>
              <c:numCache>
                <c:formatCode>General</c:formatCode>
                <c:ptCount val="62"/>
                <c:pt idx="0">
                  <c:v>647.072031034671</c:v>
                </c:pt>
                <c:pt idx="1">
                  <c:v>129.92768008932899</c:v>
                </c:pt>
                <c:pt idx="2">
                  <c:v>253.98394316426501</c:v>
                </c:pt>
                <c:pt idx="3">
                  <c:v>1055.88266584597</c:v>
                </c:pt>
                <c:pt idx="4">
                  <c:v>382.96807419697399</c:v>
                </c:pt>
                <c:pt idx="5">
                  <c:v>345.01141106376502</c:v>
                </c:pt>
                <c:pt idx="6">
                  <c:v>822.44413161062403</c:v>
                </c:pt>
                <c:pt idx="7">
                  <c:v>1240.84426512043</c:v>
                </c:pt>
                <c:pt idx="8">
                  <c:v>1657.7429597543901</c:v>
                </c:pt>
                <c:pt idx="9">
                  <c:v>484.33633027399702</c:v>
                </c:pt>
                <c:pt idx="10">
                  <c:v>739.06353081845305</c:v>
                </c:pt>
                <c:pt idx="11">
                  <c:v>107.968719315844</c:v>
                </c:pt>
                <c:pt idx="12">
                  <c:v>128.79901527011299</c:v>
                </c:pt>
                <c:pt idx="13">
                  <c:v>358.813659671756</c:v>
                </c:pt>
                <c:pt idx="14">
                  <c:v>370.99285910676502</c:v>
                </c:pt>
                <c:pt idx="15">
                  <c:v>210.98085814626</c:v>
                </c:pt>
                <c:pt idx="16">
                  <c:v>1849.4407605172801</c:v>
                </c:pt>
                <c:pt idx="17">
                  <c:v>2474.8211804696298</c:v>
                </c:pt>
                <c:pt idx="18">
                  <c:v>961.87813985939295</c:v>
                </c:pt>
                <c:pt idx="19">
                  <c:v>671.12807560956901</c:v>
                </c:pt>
                <c:pt idx="20">
                  <c:v>2953.2825885594202</c:v>
                </c:pt>
                <c:pt idx="21">
                  <c:v>501.38280502905201</c:v>
                </c:pt>
                <c:pt idx="22">
                  <c:v>915.59721382423004</c:v>
                </c:pt>
                <c:pt idx="23">
                  <c:v>873.70653611749003</c:v>
                </c:pt>
                <c:pt idx="24">
                  <c:v>463.389085395677</c:v>
                </c:pt>
                <c:pt idx="25">
                  <c:v>3920.4468038507898</c:v>
                </c:pt>
                <c:pt idx="26">
                  <c:v>253.01381877211799</c:v>
                </c:pt>
                <c:pt idx="27">
                  <c:v>195.59378088541499</c:v>
                </c:pt>
                <c:pt idx="28">
                  <c:v>248.241326901093</c:v>
                </c:pt>
                <c:pt idx="29">
                  <c:v>386.98809125809299</c:v>
                </c:pt>
                <c:pt idx="30">
                  <c:v>424.82698895688299</c:v>
                </c:pt>
                <c:pt idx="31">
                  <c:v>204.02229121563499</c:v>
                </c:pt>
                <c:pt idx="32">
                  <c:v>177.25361676461301</c:v>
                </c:pt>
                <c:pt idx="33">
                  <c:v>839.95122846223899</c:v>
                </c:pt>
                <c:pt idx="34">
                  <c:v>1647.8371037526699</c:v>
                </c:pt>
                <c:pt idx="35">
                  <c:v>1035.1479858344101</c:v>
                </c:pt>
                <c:pt idx="36">
                  <c:v>547.85204125517305</c:v>
                </c:pt>
                <c:pt idx="37">
                  <c:v>2734.3646486534399</c:v>
                </c:pt>
                <c:pt idx="38">
                  <c:v>1459.5712961461099</c:v>
                </c:pt>
                <c:pt idx="39">
                  <c:v>2546.1288259429998</c:v>
                </c:pt>
                <c:pt idx="40">
                  <c:v>434.20323157454698</c:v>
                </c:pt>
                <c:pt idx="41">
                  <c:v>2084.9399966494602</c:v>
                </c:pt>
                <c:pt idx="42">
                  <c:v>529.58213187406295</c:v>
                </c:pt>
                <c:pt idx="43">
                  <c:v>2315.69983039618</c:v>
                </c:pt>
                <c:pt idx="44">
                  <c:v>2848.31033602669</c:v>
                </c:pt>
                <c:pt idx="45">
                  <c:v>3214.1666749195401</c:v>
                </c:pt>
                <c:pt idx="46">
                  <c:v>318.11003118080401</c:v>
                </c:pt>
                <c:pt idx="47">
                  <c:v>2963.14075912931</c:v>
                </c:pt>
                <c:pt idx="48">
                  <c:v>504.68546677822701</c:v>
                </c:pt>
                <c:pt idx="49">
                  <c:v>1570.49544192186</c:v>
                </c:pt>
                <c:pt idx="50">
                  <c:v>1645.94775114763</c:v>
                </c:pt>
                <c:pt idx="51">
                  <c:v>1046.4650962358501</c:v>
                </c:pt>
                <c:pt idx="52">
                  <c:v>2228.4923841677901</c:v>
                </c:pt>
                <c:pt idx="53">
                  <c:v>2598.51208221875</c:v>
                </c:pt>
                <c:pt idx="54">
                  <c:v>1038.5100678404399</c:v>
                </c:pt>
                <c:pt idx="55">
                  <c:v>1003.3359433890899</c:v>
                </c:pt>
                <c:pt idx="56">
                  <c:v>2699.8779986763002</c:v>
                </c:pt>
                <c:pt idx="57">
                  <c:v>2255.3100451888299</c:v>
                </c:pt>
                <c:pt idx="58">
                  <c:v>1946.44600890942</c:v>
                </c:pt>
                <c:pt idx="59">
                  <c:v>1881.1092594393999</c:v>
                </c:pt>
                <c:pt idx="60">
                  <c:v>2210.2616511070401</c:v>
                </c:pt>
                <c:pt idx="61">
                  <c:v>9409.0742448418696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A-F640-8EE4-7351AE0EB9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es'!$C$2:$C$63</c:f>
              <c:numCache>
                <c:formatCode>General</c:formatCode>
                <c:ptCount val="62"/>
                <c:pt idx="0">
                  <c:v>8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3</c:v>
                </c:pt>
                <c:pt idx="16">
                  <c:v>7</c:v>
                </c:pt>
                <c:pt idx="17">
                  <c:v>5</c:v>
                </c:pt>
                <c:pt idx="18">
                  <c:v>1</c:v>
                </c:pt>
                <c:pt idx="19">
                  <c:v>3</c:v>
                </c:pt>
                <c:pt idx="20">
                  <c:v>6</c:v>
                </c:pt>
                <c:pt idx="21">
                  <c:v>7</c:v>
                </c:pt>
                <c:pt idx="22">
                  <c:v>5</c:v>
                </c:pt>
                <c:pt idx="23">
                  <c:v>8</c:v>
                </c:pt>
                <c:pt idx="24">
                  <c:v>7</c:v>
                </c:pt>
                <c:pt idx="25">
                  <c:v>3</c:v>
                </c:pt>
                <c:pt idx="26">
                  <c:v>8</c:v>
                </c:pt>
                <c:pt idx="27">
                  <c:v>7</c:v>
                </c:pt>
                <c:pt idx="28">
                  <c:v>8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7</c:v>
                </c:pt>
                <c:pt idx="34">
                  <c:v>6</c:v>
                </c:pt>
                <c:pt idx="35">
                  <c:v>7</c:v>
                </c:pt>
                <c:pt idx="36">
                  <c:v>1</c:v>
                </c:pt>
                <c:pt idx="37">
                  <c:v>7</c:v>
                </c:pt>
                <c:pt idx="38">
                  <c:v>4</c:v>
                </c:pt>
                <c:pt idx="39">
                  <c:v>9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7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4</c:v>
                </c:pt>
                <c:pt idx="48">
                  <c:v>6</c:v>
                </c:pt>
                <c:pt idx="49">
                  <c:v>7</c:v>
                </c:pt>
                <c:pt idx="50">
                  <c:v>9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4</c:v>
                </c:pt>
                <c:pt idx="56">
                  <c:v>1</c:v>
                </c:pt>
                <c:pt idx="57">
                  <c:v>7</c:v>
                </c:pt>
                <c:pt idx="58">
                  <c:v>6</c:v>
                </c:pt>
                <c:pt idx="59">
                  <c:v>8</c:v>
                </c:pt>
                <c:pt idx="60">
                  <c:v>6</c:v>
                </c:pt>
                <c:pt idx="6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7A-F640-8EE4-7351AE0E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147664"/>
        <c:axId val="1487149376"/>
      </c:lineChart>
      <c:catAx>
        <c:axId val="1487147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49376"/>
        <c:crosses val="autoZero"/>
        <c:auto val="1"/>
        <c:lblAlgn val="ctr"/>
        <c:lblOffset val="100"/>
        <c:noMultiLvlLbl val="0"/>
      </c:catAx>
      <c:valAx>
        <c:axId val="14871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Hasil Perbandingan Estimasi GACO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estEffort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es'!$A$67:$A$128</c:f>
              <c:numCache>
                <c:formatCode>General</c:formatCode>
                <c:ptCount val="62"/>
                <c:pt idx="0">
                  <c:v>7871</c:v>
                </c:pt>
                <c:pt idx="1">
                  <c:v>845</c:v>
                </c:pt>
                <c:pt idx="2">
                  <c:v>2330</c:v>
                </c:pt>
                <c:pt idx="3">
                  <c:v>21272</c:v>
                </c:pt>
                <c:pt idx="4">
                  <c:v>4224</c:v>
                </c:pt>
                <c:pt idx="5">
                  <c:v>2826</c:v>
                </c:pt>
                <c:pt idx="6">
                  <c:v>7320</c:v>
                </c:pt>
                <c:pt idx="7">
                  <c:v>9125</c:v>
                </c:pt>
                <c:pt idx="8">
                  <c:v>11900</c:v>
                </c:pt>
                <c:pt idx="9">
                  <c:v>4300</c:v>
                </c:pt>
                <c:pt idx="10">
                  <c:v>4150</c:v>
                </c:pt>
                <c:pt idx="11">
                  <c:v>900</c:v>
                </c:pt>
                <c:pt idx="12">
                  <c:v>583</c:v>
                </c:pt>
                <c:pt idx="13">
                  <c:v>2565</c:v>
                </c:pt>
                <c:pt idx="14">
                  <c:v>4047</c:v>
                </c:pt>
                <c:pt idx="15">
                  <c:v>1520</c:v>
                </c:pt>
                <c:pt idx="16">
                  <c:v>25910</c:v>
                </c:pt>
                <c:pt idx="17">
                  <c:v>37286</c:v>
                </c:pt>
                <c:pt idx="18">
                  <c:v>15052</c:v>
                </c:pt>
                <c:pt idx="19">
                  <c:v>11039</c:v>
                </c:pt>
                <c:pt idx="20">
                  <c:v>18500</c:v>
                </c:pt>
                <c:pt idx="21">
                  <c:v>9369</c:v>
                </c:pt>
                <c:pt idx="22">
                  <c:v>7184</c:v>
                </c:pt>
                <c:pt idx="23">
                  <c:v>10447</c:v>
                </c:pt>
                <c:pt idx="24">
                  <c:v>5100</c:v>
                </c:pt>
                <c:pt idx="25">
                  <c:v>63694</c:v>
                </c:pt>
                <c:pt idx="26">
                  <c:v>1651</c:v>
                </c:pt>
                <c:pt idx="27">
                  <c:v>1450</c:v>
                </c:pt>
                <c:pt idx="28">
                  <c:v>1745</c:v>
                </c:pt>
                <c:pt idx="29">
                  <c:v>1798</c:v>
                </c:pt>
                <c:pt idx="30">
                  <c:v>2957</c:v>
                </c:pt>
                <c:pt idx="31">
                  <c:v>963</c:v>
                </c:pt>
                <c:pt idx="32">
                  <c:v>1233</c:v>
                </c:pt>
                <c:pt idx="33">
                  <c:v>3240</c:v>
                </c:pt>
                <c:pt idx="34">
                  <c:v>10000</c:v>
                </c:pt>
                <c:pt idx="35">
                  <c:v>6800</c:v>
                </c:pt>
                <c:pt idx="36">
                  <c:v>3850</c:v>
                </c:pt>
                <c:pt idx="37">
                  <c:v>14000</c:v>
                </c:pt>
                <c:pt idx="38">
                  <c:v>5787</c:v>
                </c:pt>
                <c:pt idx="39">
                  <c:v>9700</c:v>
                </c:pt>
                <c:pt idx="40">
                  <c:v>1100</c:v>
                </c:pt>
                <c:pt idx="41">
                  <c:v>5578</c:v>
                </c:pt>
                <c:pt idx="42">
                  <c:v>1060</c:v>
                </c:pt>
                <c:pt idx="43">
                  <c:v>5279</c:v>
                </c:pt>
                <c:pt idx="44">
                  <c:v>8117</c:v>
                </c:pt>
                <c:pt idx="45">
                  <c:v>8710</c:v>
                </c:pt>
                <c:pt idx="46">
                  <c:v>796</c:v>
                </c:pt>
                <c:pt idx="47">
                  <c:v>11023</c:v>
                </c:pt>
                <c:pt idx="48">
                  <c:v>1755</c:v>
                </c:pt>
                <c:pt idx="49">
                  <c:v>5931</c:v>
                </c:pt>
                <c:pt idx="50">
                  <c:v>4456</c:v>
                </c:pt>
                <c:pt idx="51">
                  <c:v>3600</c:v>
                </c:pt>
                <c:pt idx="52">
                  <c:v>4557</c:v>
                </c:pt>
                <c:pt idx="53">
                  <c:v>8752</c:v>
                </c:pt>
                <c:pt idx="54">
                  <c:v>3440</c:v>
                </c:pt>
                <c:pt idx="55">
                  <c:v>1981</c:v>
                </c:pt>
                <c:pt idx="56">
                  <c:v>13700</c:v>
                </c:pt>
                <c:pt idx="57">
                  <c:v>7105</c:v>
                </c:pt>
                <c:pt idx="58">
                  <c:v>6816</c:v>
                </c:pt>
                <c:pt idx="59">
                  <c:v>4620</c:v>
                </c:pt>
                <c:pt idx="60">
                  <c:v>7451</c:v>
                </c:pt>
                <c:pt idx="61">
                  <c:v>39479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A-A24D-A421-C5562B2A1CED}"/>
            </c:ext>
          </c:extLst>
        </c:ser>
        <c:ser>
          <c:idx val="1"/>
          <c:order val="1"/>
          <c:tx>
            <c:v>estEffortGACO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es'!$B$67:$B$128</c:f>
              <c:numCache>
                <c:formatCode>General</c:formatCode>
                <c:ptCount val="62"/>
                <c:pt idx="0">
                  <c:v>647.43159543970296</c:v>
                </c:pt>
                <c:pt idx="1">
                  <c:v>129.97134697631401</c:v>
                </c:pt>
                <c:pt idx="2">
                  <c:v>253.97251711927399</c:v>
                </c:pt>
                <c:pt idx="3">
                  <c:v>1258.94555614397</c:v>
                </c:pt>
                <c:pt idx="4">
                  <c:v>672.31901612756894</c:v>
                </c:pt>
                <c:pt idx="5">
                  <c:v>344.76584368316702</c:v>
                </c:pt>
                <c:pt idx="6">
                  <c:v>683.83385780340302</c:v>
                </c:pt>
                <c:pt idx="7">
                  <c:v>819.56893897362397</c:v>
                </c:pt>
                <c:pt idx="8">
                  <c:v>1868.7522456706999</c:v>
                </c:pt>
                <c:pt idx="9">
                  <c:v>313.25407350517401</c:v>
                </c:pt>
                <c:pt idx="10">
                  <c:v>739.24273185385903</c:v>
                </c:pt>
                <c:pt idx="11">
                  <c:v>109.074953097247</c:v>
                </c:pt>
                <c:pt idx="12">
                  <c:v>118.195269673406</c:v>
                </c:pt>
                <c:pt idx="13">
                  <c:v>257.18568764997002</c:v>
                </c:pt>
                <c:pt idx="14">
                  <c:v>466.25030026551599</c:v>
                </c:pt>
                <c:pt idx="15">
                  <c:v>269.94646618380699</c:v>
                </c:pt>
                <c:pt idx="16">
                  <c:v>1850.07214585263</c:v>
                </c:pt>
                <c:pt idx="17">
                  <c:v>2480.93359893446</c:v>
                </c:pt>
                <c:pt idx="18">
                  <c:v>897.03526997049198</c:v>
                </c:pt>
                <c:pt idx="19">
                  <c:v>1387.10410880269</c:v>
                </c:pt>
                <c:pt idx="20">
                  <c:v>2954.4857140556501</c:v>
                </c:pt>
                <c:pt idx="21">
                  <c:v>434.47491910181901</c:v>
                </c:pt>
                <c:pt idx="22">
                  <c:v>659.45113270243996</c:v>
                </c:pt>
                <c:pt idx="23">
                  <c:v>805.77379675360703</c:v>
                </c:pt>
                <c:pt idx="24">
                  <c:v>467.08910178680901</c:v>
                </c:pt>
                <c:pt idx="25">
                  <c:v>3368.2451222947898</c:v>
                </c:pt>
                <c:pt idx="26">
                  <c:v>253.044700540321</c:v>
                </c:pt>
                <c:pt idx="27">
                  <c:v>195.98860461554901</c:v>
                </c:pt>
                <c:pt idx="28">
                  <c:v>209.58416195379201</c:v>
                </c:pt>
                <c:pt idx="29">
                  <c:v>387.01999667878101</c:v>
                </c:pt>
                <c:pt idx="30">
                  <c:v>429.91831436374298</c:v>
                </c:pt>
                <c:pt idx="31">
                  <c:v>204.033342039882</c:v>
                </c:pt>
                <c:pt idx="32">
                  <c:v>115.870477322867</c:v>
                </c:pt>
                <c:pt idx="33">
                  <c:v>840.40358626344801</c:v>
                </c:pt>
                <c:pt idx="34">
                  <c:v>1647.9711532652</c:v>
                </c:pt>
                <c:pt idx="35">
                  <c:v>1035.0376521225201</c:v>
                </c:pt>
                <c:pt idx="36">
                  <c:v>547.53958268709096</c:v>
                </c:pt>
                <c:pt idx="37">
                  <c:v>3965.3944893327898</c:v>
                </c:pt>
                <c:pt idx="38">
                  <c:v>1614.1805008732599</c:v>
                </c:pt>
                <c:pt idx="39">
                  <c:v>2764.9769737216602</c:v>
                </c:pt>
                <c:pt idx="40">
                  <c:v>523.86662637946199</c:v>
                </c:pt>
                <c:pt idx="41">
                  <c:v>2065.2996757667202</c:v>
                </c:pt>
                <c:pt idx="42">
                  <c:v>503.25958921037801</c:v>
                </c:pt>
                <c:pt idx="43">
                  <c:v>2568.23141299796</c:v>
                </c:pt>
                <c:pt idx="44">
                  <c:v>2822.4109115646802</c:v>
                </c:pt>
                <c:pt idx="45">
                  <c:v>3679.1926434494399</c:v>
                </c:pt>
                <c:pt idx="46">
                  <c:v>290.68049246475101</c:v>
                </c:pt>
                <c:pt idx="47">
                  <c:v>4282.1777306966897</c:v>
                </c:pt>
                <c:pt idx="48">
                  <c:v>557.55553918707096</c:v>
                </c:pt>
                <c:pt idx="49">
                  <c:v>1812.04163119395</c:v>
                </c:pt>
                <c:pt idx="50">
                  <c:v>1636.03991180766</c:v>
                </c:pt>
                <c:pt idx="51">
                  <c:v>1204.47087242974</c:v>
                </c:pt>
                <c:pt idx="52">
                  <c:v>1433.32648274075</c:v>
                </c:pt>
                <c:pt idx="53">
                  <c:v>3328.0161257755499</c:v>
                </c:pt>
                <c:pt idx="54">
                  <c:v>1077.32616836799</c:v>
                </c:pt>
                <c:pt idx="55">
                  <c:v>801.25466379262105</c:v>
                </c:pt>
                <c:pt idx="56">
                  <c:v>2909.99033441041</c:v>
                </c:pt>
                <c:pt idx="57">
                  <c:v>1846.9005202624401</c:v>
                </c:pt>
                <c:pt idx="58">
                  <c:v>1890.29218228948</c:v>
                </c:pt>
                <c:pt idx="59">
                  <c:v>1492.9469636223</c:v>
                </c:pt>
                <c:pt idx="60">
                  <c:v>2293.9279767609401</c:v>
                </c:pt>
                <c:pt idx="61">
                  <c:v>10052.638822523801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A-A24D-A421-C5562B2A1CED}"/>
            </c:ext>
          </c:extLst>
        </c:ser>
        <c:ser>
          <c:idx val="2"/>
          <c:order val="2"/>
          <c:tx>
            <c:v>actEffort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es'!$C$67:$C$128</c:f>
              <c:numCache>
                <c:formatCode>General</c:formatCode>
                <c:ptCount val="62"/>
                <c:pt idx="0">
                  <c:v>2100.6146631430502</c:v>
                </c:pt>
                <c:pt idx="1">
                  <c:v>198.103617639595</c:v>
                </c:pt>
                <c:pt idx="2">
                  <c:v>774.01761363510695</c:v>
                </c:pt>
                <c:pt idx="3">
                  <c:v>5091.3452885180304</c:v>
                </c:pt>
                <c:pt idx="4">
                  <c:v>772.609594553134</c:v>
                </c:pt>
                <c:pt idx="5">
                  <c:v>946.16591401230198</c:v>
                </c:pt>
                <c:pt idx="6">
                  <c:v>1416.9935853300501</c:v>
                </c:pt>
                <c:pt idx="7">
                  <c:v>2715.9217329236799</c:v>
                </c:pt>
                <c:pt idx="8">
                  <c:v>4107.3136736392798</c:v>
                </c:pt>
                <c:pt idx="9">
                  <c:v>1126.5006695453801</c:v>
                </c:pt>
                <c:pt idx="10">
                  <c:v>1261.02243210797</c:v>
                </c:pt>
                <c:pt idx="11">
                  <c:v>466.96494743932101</c:v>
                </c:pt>
                <c:pt idx="12">
                  <c:v>296.91679685133897</c:v>
                </c:pt>
                <c:pt idx="13">
                  <c:v>909.51584706074698</c:v>
                </c:pt>
                <c:pt idx="14">
                  <c:v>1194.8689118472601</c:v>
                </c:pt>
                <c:pt idx="15">
                  <c:v>488.70564134972801</c:v>
                </c:pt>
                <c:pt idx="16">
                  <c:v>9356.4051622743391</c:v>
                </c:pt>
                <c:pt idx="17">
                  <c:v>7358.4721503666897</c:v>
                </c:pt>
                <c:pt idx="18">
                  <c:v>3878.1885646714099</c:v>
                </c:pt>
                <c:pt idx="19">
                  <c:v>2184.3838744955901</c:v>
                </c:pt>
                <c:pt idx="20">
                  <c:v>4980.3818874873396</c:v>
                </c:pt>
                <c:pt idx="21">
                  <c:v>2319.1301826562699</c:v>
                </c:pt>
                <c:pt idx="22">
                  <c:v>2774.8068108990601</c:v>
                </c:pt>
                <c:pt idx="23">
                  <c:v>3773.7758734435401</c:v>
                </c:pt>
                <c:pt idx="24">
                  <c:v>2425.3049467343699</c:v>
                </c:pt>
                <c:pt idx="25">
                  <c:v>9366.8048544579306</c:v>
                </c:pt>
                <c:pt idx="26">
                  <c:v>465.073271114904</c:v>
                </c:pt>
                <c:pt idx="27">
                  <c:v>561.10806913170495</c:v>
                </c:pt>
                <c:pt idx="28">
                  <c:v>888.19696897567201</c:v>
                </c:pt>
                <c:pt idx="29">
                  <c:v>748.70937218909705</c:v>
                </c:pt>
                <c:pt idx="30">
                  <c:v>956.71788402340997</c:v>
                </c:pt>
                <c:pt idx="31">
                  <c:v>320.88529690637699</c:v>
                </c:pt>
                <c:pt idx="32">
                  <c:v>262.98073064810899</c:v>
                </c:pt>
                <c:pt idx="33">
                  <c:v>839.945024819732</c:v>
                </c:pt>
                <c:pt idx="34">
                  <c:v>1905.39168668411</c:v>
                </c:pt>
                <c:pt idx="35">
                  <c:v>1703.61252483668</c:v>
                </c:pt>
                <c:pt idx="36">
                  <c:v>1255.39795667151</c:v>
                </c:pt>
                <c:pt idx="37">
                  <c:v>6616.0757853729701</c:v>
                </c:pt>
                <c:pt idx="38">
                  <c:v>3436.9462560867501</c:v>
                </c:pt>
                <c:pt idx="39">
                  <c:v>5520.1951445477398</c:v>
                </c:pt>
                <c:pt idx="40">
                  <c:v>786.58852059963203</c:v>
                </c:pt>
                <c:pt idx="41">
                  <c:v>3410.4759872552399</c:v>
                </c:pt>
                <c:pt idx="42">
                  <c:v>639.36575453805494</c:v>
                </c:pt>
                <c:pt idx="43">
                  <c:v>3728.1790383074599</c:v>
                </c:pt>
                <c:pt idx="44">
                  <c:v>5471.14331873026</c:v>
                </c:pt>
                <c:pt idx="45">
                  <c:v>5912.7696827321597</c:v>
                </c:pt>
                <c:pt idx="46">
                  <c:v>508.70904640254901</c:v>
                </c:pt>
                <c:pt idx="47">
                  <c:v>6624.1621108650497</c:v>
                </c:pt>
                <c:pt idx="48">
                  <c:v>1165.9960759355499</c:v>
                </c:pt>
                <c:pt idx="49">
                  <c:v>3643.0050823801798</c:v>
                </c:pt>
                <c:pt idx="50">
                  <c:v>2426.2102067700298</c:v>
                </c:pt>
                <c:pt idx="51">
                  <c:v>1929.3579884129599</c:v>
                </c:pt>
                <c:pt idx="52">
                  <c:v>2768.43092306575</c:v>
                </c:pt>
                <c:pt idx="53">
                  <c:v>4748.0994474690197</c:v>
                </c:pt>
                <c:pt idx="54">
                  <c:v>1980.2408583087099</c:v>
                </c:pt>
                <c:pt idx="55">
                  <c:v>1075.8258704924899</c:v>
                </c:pt>
                <c:pt idx="56">
                  <c:v>6727.7857688213799</c:v>
                </c:pt>
                <c:pt idx="57">
                  <c:v>3967.7686932991701</c:v>
                </c:pt>
                <c:pt idx="58">
                  <c:v>3304.3267364390899</c:v>
                </c:pt>
                <c:pt idx="59">
                  <c:v>3062.7853976823899</c:v>
                </c:pt>
                <c:pt idx="60">
                  <c:v>4563.1571506475002</c:v>
                </c:pt>
                <c:pt idx="61">
                  <c:v>20353.343358911701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8A-A24D-A421-C5562B2A1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024384"/>
        <c:axId val="796026096"/>
      </c:lineChart>
      <c:catAx>
        <c:axId val="79602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26096"/>
        <c:crosses val="autoZero"/>
        <c:auto val="0"/>
        <c:lblAlgn val="ctr"/>
        <c:lblOffset val="100"/>
        <c:noMultiLvlLbl val="0"/>
      </c:catAx>
      <c:valAx>
        <c:axId val="7960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2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es'!$A$131:$A$192</c:f>
              <c:numCache>
                <c:formatCode>General</c:formatCode>
                <c:ptCount val="62"/>
                <c:pt idx="0">
                  <c:v>7871</c:v>
                </c:pt>
                <c:pt idx="1">
                  <c:v>845</c:v>
                </c:pt>
                <c:pt idx="2">
                  <c:v>2330</c:v>
                </c:pt>
                <c:pt idx="3">
                  <c:v>21272</c:v>
                </c:pt>
                <c:pt idx="4">
                  <c:v>4224</c:v>
                </c:pt>
                <c:pt idx="5">
                  <c:v>2826</c:v>
                </c:pt>
                <c:pt idx="6">
                  <c:v>7320</c:v>
                </c:pt>
                <c:pt idx="7">
                  <c:v>9125</c:v>
                </c:pt>
                <c:pt idx="8">
                  <c:v>11900</c:v>
                </c:pt>
                <c:pt idx="9">
                  <c:v>4300</c:v>
                </c:pt>
                <c:pt idx="10">
                  <c:v>4150</c:v>
                </c:pt>
                <c:pt idx="11">
                  <c:v>900</c:v>
                </c:pt>
                <c:pt idx="12">
                  <c:v>583</c:v>
                </c:pt>
                <c:pt idx="13">
                  <c:v>2565</c:v>
                </c:pt>
                <c:pt idx="14">
                  <c:v>4047</c:v>
                </c:pt>
                <c:pt idx="15">
                  <c:v>1520</c:v>
                </c:pt>
                <c:pt idx="16">
                  <c:v>25910</c:v>
                </c:pt>
                <c:pt idx="17">
                  <c:v>37286</c:v>
                </c:pt>
                <c:pt idx="18">
                  <c:v>15052</c:v>
                </c:pt>
                <c:pt idx="19">
                  <c:v>11039</c:v>
                </c:pt>
                <c:pt idx="20">
                  <c:v>18500</c:v>
                </c:pt>
                <c:pt idx="21">
                  <c:v>9369</c:v>
                </c:pt>
                <c:pt idx="22">
                  <c:v>7184</c:v>
                </c:pt>
                <c:pt idx="23">
                  <c:v>10447</c:v>
                </c:pt>
                <c:pt idx="24">
                  <c:v>5100</c:v>
                </c:pt>
                <c:pt idx="25">
                  <c:v>63694</c:v>
                </c:pt>
                <c:pt idx="26">
                  <c:v>1651</c:v>
                </c:pt>
                <c:pt idx="27">
                  <c:v>1450</c:v>
                </c:pt>
                <c:pt idx="28">
                  <c:v>1745</c:v>
                </c:pt>
                <c:pt idx="29">
                  <c:v>1798</c:v>
                </c:pt>
                <c:pt idx="30">
                  <c:v>2957</c:v>
                </c:pt>
                <c:pt idx="31">
                  <c:v>963</c:v>
                </c:pt>
                <c:pt idx="32">
                  <c:v>1233</c:v>
                </c:pt>
                <c:pt idx="33">
                  <c:v>3240</c:v>
                </c:pt>
                <c:pt idx="34">
                  <c:v>10000</c:v>
                </c:pt>
                <c:pt idx="35">
                  <c:v>6800</c:v>
                </c:pt>
                <c:pt idx="36">
                  <c:v>3850</c:v>
                </c:pt>
                <c:pt idx="37">
                  <c:v>14000</c:v>
                </c:pt>
                <c:pt idx="38">
                  <c:v>5787</c:v>
                </c:pt>
                <c:pt idx="39">
                  <c:v>9700</c:v>
                </c:pt>
                <c:pt idx="40">
                  <c:v>1100</c:v>
                </c:pt>
                <c:pt idx="41">
                  <c:v>5578</c:v>
                </c:pt>
                <c:pt idx="42">
                  <c:v>1060</c:v>
                </c:pt>
                <c:pt idx="43">
                  <c:v>5279</c:v>
                </c:pt>
                <c:pt idx="44">
                  <c:v>8117</c:v>
                </c:pt>
                <c:pt idx="45">
                  <c:v>8710</c:v>
                </c:pt>
                <c:pt idx="46">
                  <c:v>796</c:v>
                </c:pt>
                <c:pt idx="47">
                  <c:v>11023</c:v>
                </c:pt>
                <c:pt idx="48">
                  <c:v>1755</c:v>
                </c:pt>
                <c:pt idx="49">
                  <c:v>5931</c:v>
                </c:pt>
                <c:pt idx="50">
                  <c:v>4456</c:v>
                </c:pt>
                <c:pt idx="51">
                  <c:v>3600</c:v>
                </c:pt>
                <c:pt idx="52">
                  <c:v>4557</c:v>
                </c:pt>
                <c:pt idx="53">
                  <c:v>8752</c:v>
                </c:pt>
                <c:pt idx="54">
                  <c:v>3440</c:v>
                </c:pt>
                <c:pt idx="55">
                  <c:v>1981</c:v>
                </c:pt>
                <c:pt idx="56">
                  <c:v>13700</c:v>
                </c:pt>
                <c:pt idx="57">
                  <c:v>7105</c:v>
                </c:pt>
                <c:pt idx="58">
                  <c:v>6816</c:v>
                </c:pt>
                <c:pt idx="59">
                  <c:v>4620</c:v>
                </c:pt>
                <c:pt idx="60">
                  <c:v>7451</c:v>
                </c:pt>
                <c:pt idx="61">
                  <c:v>39479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D-EC4A-B843-64F89AD1FFA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es'!$B$131:$B$192</c:f>
              <c:numCache>
                <c:formatCode>General</c:formatCode>
                <c:ptCount val="62"/>
                <c:pt idx="0">
                  <c:v>646.83151006971696</c:v>
                </c:pt>
                <c:pt idx="1">
                  <c:v>129.95395474635299</c:v>
                </c:pt>
                <c:pt idx="2">
                  <c:v>254.023313215999</c:v>
                </c:pt>
                <c:pt idx="3">
                  <c:v>1056.43957986501</c:v>
                </c:pt>
                <c:pt idx="4">
                  <c:v>383.25147969895698</c:v>
                </c:pt>
                <c:pt idx="5">
                  <c:v>488.56729520112299</c:v>
                </c:pt>
                <c:pt idx="6">
                  <c:v>844.89406279341802</c:v>
                </c:pt>
                <c:pt idx="7">
                  <c:v>1030.7606993433301</c:v>
                </c:pt>
                <c:pt idx="8">
                  <c:v>1180.7281013700299</c:v>
                </c:pt>
                <c:pt idx="9">
                  <c:v>479.93807599412099</c:v>
                </c:pt>
                <c:pt idx="10">
                  <c:v>735.23100709680205</c:v>
                </c:pt>
                <c:pt idx="11">
                  <c:v>108.02470803881999</c:v>
                </c:pt>
                <c:pt idx="12">
                  <c:v>114.199904630216</c:v>
                </c:pt>
                <c:pt idx="13">
                  <c:v>275.52638612441098</c:v>
                </c:pt>
                <c:pt idx="14">
                  <c:v>371.02563561209399</c:v>
                </c:pt>
                <c:pt idx="15">
                  <c:v>211.54832325580199</c:v>
                </c:pt>
                <c:pt idx="16">
                  <c:v>1849.42099662384</c:v>
                </c:pt>
                <c:pt idx="17">
                  <c:v>2479.7645828024401</c:v>
                </c:pt>
                <c:pt idx="18">
                  <c:v>919.48346884938098</c:v>
                </c:pt>
                <c:pt idx="19">
                  <c:v>883.18986862215104</c:v>
                </c:pt>
                <c:pt idx="20">
                  <c:v>2953.9568771911399</c:v>
                </c:pt>
                <c:pt idx="21">
                  <c:v>414.199386996805</c:v>
                </c:pt>
                <c:pt idx="22">
                  <c:v>680.39177022519902</c:v>
                </c:pt>
                <c:pt idx="23">
                  <c:v>904.81614759265699</c:v>
                </c:pt>
                <c:pt idx="24">
                  <c:v>535.77565118810696</c:v>
                </c:pt>
                <c:pt idx="25">
                  <c:v>3368.06104145472</c:v>
                </c:pt>
                <c:pt idx="26">
                  <c:v>253.08465119687199</c:v>
                </c:pt>
                <c:pt idx="27">
                  <c:v>196.058294492268</c:v>
                </c:pt>
                <c:pt idx="28">
                  <c:v>219.699915634771</c:v>
                </c:pt>
                <c:pt idx="29">
                  <c:v>387.04089250512402</c:v>
                </c:pt>
                <c:pt idx="30">
                  <c:v>430.17924022545702</c:v>
                </c:pt>
                <c:pt idx="31">
                  <c:v>204.01914937184301</c:v>
                </c:pt>
                <c:pt idx="32">
                  <c:v>92.692998860935504</c:v>
                </c:pt>
                <c:pt idx="33">
                  <c:v>839.99823121594397</c:v>
                </c:pt>
                <c:pt idx="34">
                  <c:v>1648.0457990004199</c:v>
                </c:pt>
                <c:pt idx="35">
                  <c:v>1034.88948247449</c:v>
                </c:pt>
                <c:pt idx="36">
                  <c:v>547.87800346413997</c:v>
                </c:pt>
                <c:pt idx="37">
                  <c:v>3412.00440805577</c:v>
                </c:pt>
                <c:pt idx="38">
                  <c:v>1734.0391255895599</c:v>
                </c:pt>
                <c:pt idx="39">
                  <c:v>2762.7875518072901</c:v>
                </c:pt>
                <c:pt idx="40">
                  <c:v>504.292752897941</c:v>
                </c:pt>
                <c:pt idx="41">
                  <c:v>1856.8167915372901</c:v>
                </c:pt>
                <c:pt idx="42">
                  <c:v>468.891472826572</c:v>
                </c:pt>
                <c:pt idx="43">
                  <c:v>2569.8673176157299</c:v>
                </c:pt>
                <c:pt idx="44">
                  <c:v>3101.4175465573198</c:v>
                </c:pt>
                <c:pt idx="45">
                  <c:v>3712.8771124370801</c:v>
                </c:pt>
                <c:pt idx="46">
                  <c:v>340.71462499212203</c:v>
                </c:pt>
                <c:pt idx="47">
                  <c:v>3769.36500564775</c:v>
                </c:pt>
                <c:pt idx="48">
                  <c:v>608.23445419751499</c:v>
                </c:pt>
                <c:pt idx="49">
                  <c:v>1525.5359891299099</c:v>
                </c:pt>
                <c:pt idx="50">
                  <c:v>1766.4881066898199</c:v>
                </c:pt>
                <c:pt idx="51">
                  <c:v>1251.27461339964</c:v>
                </c:pt>
                <c:pt idx="52">
                  <c:v>1663.41988842725</c:v>
                </c:pt>
                <c:pt idx="53">
                  <c:v>2634.4385012405901</c:v>
                </c:pt>
                <c:pt idx="54">
                  <c:v>1198.2094545611001</c:v>
                </c:pt>
                <c:pt idx="55">
                  <c:v>804.29811850333101</c:v>
                </c:pt>
                <c:pt idx="56">
                  <c:v>3241.3470199496401</c:v>
                </c:pt>
                <c:pt idx="57">
                  <c:v>2598.0874125471701</c:v>
                </c:pt>
                <c:pt idx="58">
                  <c:v>2036.7849664718699</c:v>
                </c:pt>
                <c:pt idx="59">
                  <c:v>1458.23606500356</c:v>
                </c:pt>
                <c:pt idx="60">
                  <c:v>2435.01161808282</c:v>
                </c:pt>
                <c:pt idx="61">
                  <c:v>8704.0850160253995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D-EC4A-B843-64F89AD1FFA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es'!$C$131:$C$192</c:f>
              <c:numCache>
                <c:formatCode>General</c:formatCode>
                <c:ptCount val="62"/>
                <c:pt idx="0">
                  <c:v>5176</c:v>
                </c:pt>
                <c:pt idx="1">
                  <c:v>1170</c:v>
                </c:pt>
                <c:pt idx="2">
                  <c:v>1524</c:v>
                </c:pt>
                <c:pt idx="3">
                  <c:v>2112</c:v>
                </c:pt>
                <c:pt idx="4">
                  <c:v>1532</c:v>
                </c:pt>
                <c:pt idx="5">
                  <c:v>2760</c:v>
                </c:pt>
                <c:pt idx="6">
                  <c:v>627</c:v>
                </c:pt>
                <c:pt idx="7">
                  <c:v>732</c:v>
                </c:pt>
                <c:pt idx="8">
                  <c:v>3543</c:v>
                </c:pt>
                <c:pt idx="9">
                  <c:v>543</c:v>
                </c:pt>
                <c:pt idx="10">
                  <c:v>4434</c:v>
                </c:pt>
                <c:pt idx="11">
                  <c:v>756</c:v>
                </c:pt>
                <c:pt idx="12">
                  <c:v>288</c:v>
                </c:pt>
                <c:pt idx="13">
                  <c:v>1743</c:v>
                </c:pt>
                <c:pt idx="14">
                  <c:v>2968</c:v>
                </c:pt>
                <c:pt idx="15">
                  <c:v>633</c:v>
                </c:pt>
                <c:pt idx="16">
                  <c:v>12943</c:v>
                </c:pt>
                <c:pt idx="17">
                  <c:v>12410</c:v>
                </c:pt>
                <c:pt idx="18">
                  <c:v>434</c:v>
                </c:pt>
                <c:pt idx="19">
                  <c:v>876</c:v>
                </c:pt>
                <c:pt idx="20">
                  <c:v>17724</c:v>
                </c:pt>
                <c:pt idx="21">
                  <c:v>2128</c:v>
                </c:pt>
                <c:pt idx="22">
                  <c:v>1765</c:v>
                </c:pt>
                <c:pt idx="23">
                  <c:v>4536</c:v>
                </c:pt>
                <c:pt idx="24">
                  <c:v>3269</c:v>
                </c:pt>
                <c:pt idx="25">
                  <c:v>10104</c:v>
                </c:pt>
                <c:pt idx="26">
                  <c:v>2024</c:v>
                </c:pt>
                <c:pt idx="27">
                  <c:v>1372</c:v>
                </c:pt>
                <c:pt idx="28">
                  <c:v>1480</c:v>
                </c:pt>
                <c:pt idx="29">
                  <c:v>1548</c:v>
                </c:pt>
                <c:pt idx="30">
                  <c:v>1720</c:v>
                </c:pt>
                <c:pt idx="31">
                  <c:v>1020</c:v>
                </c:pt>
                <c:pt idx="32">
                  <c:v>284</c:v>
                </c:pt>
                <c:pt idx="33">
                  <c:v>5880</c:v>
                </c:pt>
                <c:pt idx="34">
                  <c:v>9888</c:v>
                </c:pt>
                <c:pt idx="35">
                  <c:v>7245</c:v>
                </c:pt>
                <c:pt idx="36">
                  <c:v>548</c:v>
                </c:pt>
                <c:pt idx="37">
                  <c:v>14378</c:v>
                </c:pt>
                <c:pt idx="38">
                  <c:v>1208</c:v>
                </c:pt>
                <c:pt idx="39">
                  <c:v>10548</c:v>
                </c:pt>
                <c:pt idx="40">
                  <c:v>1771</c:v>
                </c:pt>
                <c:pt idx="41">
                  <c:v>1816</c:v>
                </c:pt>
                <c:pt idx="42">
                  <c:v>472</c:v>
                </c:pt>
                <c:pt idx="43">
                  <c:v>2093</c:v>
                </c:pt>
                <c:pt idx="44">
                  <c:v>2110</c:v>
                </c:pt>
                <c:pt idx="45">
                  <c:v>6348</c:v>
                </c:pt>
                <c:pt idx="46">
                  <c:v>390</c:v>
                </c:pt>
                <c:pt idx="47">
                  <c:v>1560</c:v>
                </c:pt>
                <c:pt idx="48">
                  <c:v>1158</c:v>
                </c:pt>
                <c:pt idx="49">
                  <c:v>10682</c:v>
                </c:pt>
                <c:pt idx="50">
                  <c:v>5175</c:v>
                </c:pt>
                <c:pt idx="51">
                  <c:v>1527</c:v>
                </c:pt>
                <c:pt idx="52">
                  <c:v>2332</c:v>
                </c:pt>
                <c:pt idx="53">
                  <c:v>1260</c:v>
                </c:pt>
                <c:pt idx="54">
                  <c:v>690</c:v>
                </c:pt>
                <c:pt idx="55">
                  <c:v>1028</c:v>
                </c:pt>
                <c:pt idx="56">
                  <c:v>423</c:v>
                </c:pt>
                <c:pt idx="57">
                  <c:v>3465</c:v>
                </c:pt>
                <c:pt idx="58">
                  <c:v>3732</c:v>
                </c:pt>
                <c:pt idx="59">
                  <c:v>1632</c:v>
                </c:pt>
                <c:pt idx="60">
                  <c:v>3696</c:v>
                </c:pt>
                <c:pt idx="61">
                  <c:v>25501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D-EC4A-B843-64F89AD1F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186960"/>
        <c:axId val="796188672"/>
      </c:lineChart>
      <c:catAx>
        <c:axId val="796186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8672"/>
        <c:crosses val="autoZero"/>
        <c:auto val="1"/>
        <c:lblAlgn val="ctr"/>
        <c:lblOffset val="100"/>
        <c:noMultiLvlLbl val="0"/>
      </c:catAx>
      <c:valAx>
        <c:axId val="7961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Hasil Perbandingan Estimasi Algen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estEffort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es'!$N$68:$N$129</c:f>
              <c:numCache>
                <c:formatCode>General</c:formatCode>
                <c:ptCount val="62"/>
                <c:pt idx="0">
                  <c:v>7871</c:v>
                </c:pt>
                <c:pt idx="1">
                  <c:v>845</c:v>
                </c:pt>
                <c:pt idx="2">
                  <c:v>2330</c:v>
                </c:pt>
                <c:pt idx="3">
                  <c:v>21272</c:v>
                </c:pt>
                <c:pt idx="4">
                  <c:v>4224</c:v>
                </c:pt>
                <c:pt idx="5">
                  <c:v>2826</c:v>
                </c:pt>
                <c:pt idx="6">
                  <c:v>7320</c:v>
                </c:pt>
                <c:pt idx="7">
                  <c:v>9125</c:v>
                </c:pt>
                <c:pt idx="8">
                  <c:v>11900</c:v>
                </c:pt>
                <c:pt idx="9">
                  <c:v>4300</c:v>
                </c:pt>
                <c:pt idx="10">
                  <c:v>4150</c:v>
                </c:pt>
                <c:pt idx="11">
                  <c:v>900</c:v>
                </c:pt>
                <c:pt idx="12">
                  <c:v>583</c:v>
                </c:pt>
                <c:pt idx="13">
                  <c:v>2565</c:v>
                </c:pt>
                <c:pt idx="14">
                  <c:v>4047</c:v>
                </c:pt>
                <c:pt idx="15">
                  <c:v>1520</c:v>
                </c:pt>
                <c:pt idx="16">
                  <c:v>25910</c:v>
                </c:pt>
                <c:pt idx="17">
                  <c:v>37286</c:v>
                </c:pt>
                <c:pt idx="18">
                  <c:v>15052</c:v>
                </c:pt>
                <c:pt idx="19">
                  <c:v>11039</c:v>
                </c:pt>
                <c:pt idx="20">
                  <c:v>18500</c:v>
                </c:pt>
                <c:pt idx="21">
                  <c:v>9369</c:v>
                </c:pt>
                <c:pt idx="22">
                  <c:v>7184</c:v>
                </c:pt>
                <c:pt idx="23">
                  <c:v>10447</c:v>
                </c:pt>
                <c:pt idx="24">
                  <c:v>5100</c:v>
                </c:pt>
                <c:pt idx="25">
                  <c:v>63694</c:v>
                </c:pt>
                <c:pt idx="26">
                  <c:v>1651</c:v>
                </c:pt>
                <c:pt idx="27">
                  <c:v>1450</c:v>
                </c:pt>
                <c:pt idx="28">
                  <c:v>1745</c:v>
                </c:pt>
                <c:pt idx="29">
                  <c:v>1798</c:v>
                </c:pt>
                <c:pt idx="30">
                  <c:v>2957</c:v>
                </c:pt>
                <c:pt idx="31">
                  <c:v>963</c:v>
                </c:pt>
                <c:pt idx="32">
                  <c:v>1233</c:v>
                </c:pt>
                <c:pt idx="33">
                  <c:v>3240</c:v>
                </c:pt>
                <c:pt idx="34">
                  <c:v>10000</c:v>
                </c:pt>
                <c:pt idx="35">
                  <c:v>6800</c:v>
                </c:pt>
                <c:pt idx="36">
                  <c:v>3850</c:v>
                </c:pt>
                <c:pt idx="37">
                  <c:v>14000</c:v>
                </c:pt>
                <c:pt idx="38">
                  <c:v>5787</c:v>
                </c:pt>
                <c:pt idx="39">
                  <c:v>9700</c:v>
                </c:pt>
                <c:pt idx="40">
                  <c:v>1100</c:v>
                </c:pt>
                <c:pt idx="41">
                  <c:v>5578</c:v>
                </c:pt>
                <c:pt idx="42">
                  <c:v>1060</c:v>
                </c:pt>
                <c:pt idx="43">
                  <c:v>5279</c:v>
                </c:pt>
                <c:pt idx="44">
                  <c:v>8117</c:v>
                </c:pt>
                <c:pt idx="45">
                  <c:v>8710</c:v>
                </c:pt>
                <c:pt idx="46">
                  <c:v>796</c:v>
                </c:pt>
                <c:pt idx="47">
                  <c:v>11023</c:v>
                </c:pt>
                <c:pt idx="48">
                  <c:v>1755</c:v>
                </c:pt>
                <c:pt idx="49">
                  <c:v>5931</c:v>
                </c:pt>
                <c:pt idx="50">
                  <c:v>4456</c:v>
                </c:pt>
                <c:pt idx="51">
                  <c:v>3600</c:v>
                </c:pt>
                <c:pt idx="52">
                  <c:v>4557</c:v>
                </c:pt>
                <c:pt idx="53">
                  <c:v>8752</c:v>
                </c:pt>
                <c:pt idx="54">
                  <c:v>3440</c:v>
                </c:pt>
                <c:pt idx="55">
                  <c:v>1981</c:v>
                </c:pt>
                <c:pt idx="56">
                  <c:v>13700</c:v>
                </c:pt>
                <c:pt idx="57">
                  <c:v>7105</c:v>
                </c:pt>
                <c:pt idx="58">
                  <c:v>6816</c:v>
                </c:pt>
                <c:pt idx="59">
                  <c:v>4620</c:v>
                </c:pt>
                <c:pt idx="60">
                  <c:v>7451</c:v>
                </c:pt>
                <c:pt idx="61">
                  <c:v>39479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0-7648-A0F9-0B3818FD85E5}"/>
            </c:ext>
          </c:extLst>
        </c:ser>
        <c:ser>
          <c:idx val="1"/>
          <c:order val="1"/>
          <c:tx>
            <c:v>estEffortAlgen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es'!$O$68:$O$129</c:f>
              <c:numCache>
                <c:formatCode>General</c:formatCode>
                <c:ptCount val="62"/>
                <c:pt idx="0">
                  <c:v>4922.8090901304904</c:v>
                </c:pt>
                <c:pt idx="1">
                  <c:v>635.05635699818095</c:v>
                </c:pt>
                <c:pt idx="2">
                  <c:v>1595.1227990831801</c:v>
                </c:pt>
                <c:pt idx="3">
                  <c:v>12730.4811711698</c:v>
                </c:pt>
                <c:pt idx="4">
                  <c:v>2332.39644555729</c:v>
                </c:pt>
                <c:pt idx="5">
                  <c:v>1902.8990191723401</c:v>
                </c:pt>
                <c:pt idx="6">
                  <c:v>5467.7391431966098</c:v>
                </c:pt>
                <c:pt idx="7">
                  <c:v>6120.6459148552503</c:v>
                </c:pt>
                <c:pt idx="8">
                  <c:v>9515.8571267693405</c:v>
                </c:pt>
                <c:pt idx="9">
                  <c:v>3031.7588755537299</c:v>
                </c:pt>
                <c:pt idx="10">
                  <c:v>2925.6967294452302</c:v>
                </c:pt>
                <c:pt idx="11">
                  <c:v>715.392840004243</c:v>
                </c:pt>
                <c:pt idx="12">
                  <c:v>484.63420483839599</c:v>
                </c:pt>
                <c:pt idx="13">
                  <c:v>1965.2760649622101</c:v>
                </c:pt>
                <c:pt idx="14">
                  <c:v>2944.7827412885499</c:v>
                </c:pt>
                <c:pt idx="15">
                  <c:v>1217.0568164624499</c:v>
                </c:pt>
                <c:pt idx="16">
                  <c:v>13978.095073712</c:v>
                </c:pt>
                <c:pt idx="17">
                  <c:v>26695.705848581099</c:v>
                </c:pt>
                <c:pt idx="18">
                  <c:v>10648.6976937279</c:v>
                </c:pt>
                <c:pt idx="19">
                  <c:v>7407.5795477472602</c:v>
                </c:pt>
                <c:pt idx="20">
                  <c:v>10324.139939422699</c:v>
                </c:pt>
                <c:pt idx="21">
                  <c:v>6682.4663981507501</c:v>
                </c:pt>
                <c:pt idx="22">
                  <c:v>4894.2174575679301</c:v>
                </c:pt>
                <c:pt idx="23">
                  <c:v>5344.0379796895904</c:v>
                </c:pt>
                <c:pt idx="24">
                  <c:v>3605.6923050682099</c:v>
                </c:pt>
                <c:pt idx="25">
                  <c:v>28805.0941872484</c:v>
                </c:pt>
                <c:pt idx="26">
                  <c:v>1147.3572889382101</c:v>
                </c:pt>
                <c:pt idx="27">
                  <c:v>1096.9311731329999</c:v>
                </c:pt>
                <c:pt idx="28">
                  <c:v>1293.34049104054</c:v>
                </c:pt>
                <c:pt idx="29">
                  <c:v>1192.1542615138201</c:v>
                </c:pt>
                <c:pt idx="30">
                  <c:v>2221.8504106290502</c:v>
                </c:pt>
                <c:pt idx="31">
                  <c:v>768.975522366375</c:v>
                </c:pt>
                <c:pt idx="32">
                  <c:v>892.29022721912202</c:v>
                </c:pt>
                <c:pt idx="33">
                  <c:v>2365.05697477995</c:v>
                </c:pt>
                <c:pt idx="34">
                  <c:v>6083.0309999275096</c:v>
                </c:pt>
                <c:pt idx="35">
                  <c:v>4993.4763258285502</c:v>
                </c:pt>
                <c:pt idx="36">
                  <c:v>3036.06465859739</c:v>
                </c:pt>
                <c:pt idx="37">
                  <c:v>11421.7556056711</c:v>
                </c:pt>
                <c:pt idx="38">
                  <c:v>4993.6206870555498</c:v>
                </c:pt>
                <c:pt idx="39">
                  <c:v>7977.10509760269</c:v>
                </c:pt>
                <c:pt idx="40">
                  <c:v>992.598884330185</c:v>
                </c:pt>
                <c:pt idx="41">
                  <c:v>4870.9806584171201</c:v>
                </c:pt>
                <c:pt idx="42">
                  <c:v>951.38832385048102</c:v>
                </c:pt>
                <c:pt idx="43">
                  <c:v>4769.5517482902296</c:v>
                </c:pt>
                <c:pt idx="44">
                  <c:v>6682.2006927749799</c:v>
                </c:pt>
                <c:pt idx="45">
                  <c:v>8028.7183747170302</c:v>
                </c:pt>
                <c:pt idx="46">
                  <c:v>707.98186634529497</c:v>
                </c:pt>
                <c:pt idx="47">
                  <c:v>9121.3406503713304</c:v>
                </c:pt>
                <c:pt idx="48">
                  <c:v>1552.7653283335301</c:v>
                </c:pt>
                <c:pt idx="49">
                  <c:v>4851.0299629973997</c:v>
                </c:pt>
                <c:pt idx="50">
                  <c:v>3953.7393718081798</c:v>
                </c:pt>
                <c:pt idx="51">
                  <c:v>3162.3385020031201</c:v>
                </c:pt>
                <c:pt idx="52">
                  <c:v>3935.0164263309798</c:v>
                </c:pt>
                <c:pt idx="53">
                  <c:v>7698.4971875608499</c:v>
                </c:pt>
                <c:pt idx="54">
                  <c:v>3070.5977938503302</c:v>
                </c:pt>
                <c:pt idx="55">
                  <c:v>1701.95777400765</c:v>
                </c:pt>
                <c:pt idx="56">
                  <c:v>10806.2367828406</c:v>
                </c:pt>
                <c:pt idx="57">
                  <c:v>6261.4909819768</c:v>
                </c:pt>
                <c:pt idx="58">
                  <c:v>5859.1634153073501</c:v>
                </c:pt>
                <c:pt idx="59">
                  <c:v>4059.8363319350301</c:v>
                </c:pt>
                <c:pt idx="60">
                  <c:v>6501.92367656838</c:v>
                </c:pt>
                <c:pt idx="61">
                  <c:v>29602.093088483802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0-7648-A0F9-0B3818FD85E5}"/>
            </c:ext>
          </c:extLst>
        </c:ser>
        <c:ser>
          <c:idx val="2"/>
          <c:order val="2"/>
          <c:tx>
            <c:v>actEffort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es'!$P$68:$P$129</c:f>
              <c:numCache>
                <c:formatCode>General</c:formatCode>
                <c:ptCount val="62"/>
                <c:pt idx="0">
                  <c:v>647</c:v>
                </c:pt>
                <c:pt idx="1">
                  <c:v>130</c:v>
                </c:pt>
                <c:pt idx="2">
                  <c:v>254</c:v>
                </c:pt>
                <c:pt idx="3">
                  <c:v>1056</c:v>
                </c:pt>
                <c:pt idx="4">
                  <c:v>383</c:v>
                </c:pt>
                <c:pt idx="5">
                  <c:v>345</c:v>
                </c:pt>
                <c:pt idx="6">
                  <c:v>209</c:v>
                </c:pt>
                <c:pt idx="7">
                  <c:v>366</c:v>
                </c:pt>
                <c:pt idx="8">
                  <c:v>1181</c:v>
                </c:pt>
                <c:pt idx="9">
                  <c:v>181</c:v>
                </c:pt>
                <c:pt idx="10">
                  <c:v>739</c:v>
                </c:pt>
                <c:pt idx="11">
                  <c:v>108</c:v>
                </c:pt>
                <c:pt idx="12">
                  <c:v>48</c:v>
                </c:pt>
                <c:pt idx="13">
                  <c:v>249</c:v>
                </c:pt>
                <c:pt idx="14">
                  <c:v>371</c:v>
                </c:pt>
                <c:pt idx="15">
                  <c:v>211</c:v>
                </c:pt>
                <c:pt idx="16">
                  <c:v>1849</c:v>
                </c:pt>
                <c:pt idx="17">
                  <c:v>2482</c:v>
                </c:pt>
                <c:pt idx="18">
                  <c:v>434</c:v>
                </c:pt>
                <c:pt idx="19">
                  <c:v>292</c:v>
                </c:pt>
                <c:pt idx="20">
                  <c:v>2954</c:v>
                </c:pt>
                <c:pt idx="21">
                  <c:v>304</c:v>
                </c:pt>
                <c:pt idx="22">
                  <c:v>353</c:v>
                </c:pt>
                <c:pt idx="23">
                  <c:v>567</c:v>
                </c:pt>
                <c:pt idx="24">
                  <c:v>467</c:v>
                </c:pt>
                <c:pt idx="25">
                  <c:v>3368</c:v>
                </c:pt>
                <c:pt idx="26">
                  <c:v>253</c:v>
                </c:pt>
                <c:pt idx="27">
                  <c:v>196</c:v>
                </c:pt>
                <c:pt idx="28">
                  <c:v>185</c:v>
                </c:pt>
                <c:pt idx="29">
                  <c:v>387</c:v>
                </c:pt>
                <c:pt idx="30">
                  <c:v>430</c:v>
                </c:pt>
                <c:pt idx="31">
                  <c:v>204</c:v>
                </c:pt>
                <c:pt idx="32">
                  <c:v>71</c:v>
                </c:pt>
                <c:pt idx="33">
                  <c:v>840</c:v>
                </c:pt>
                <c:pt idx="34">
                  <c:v>1648</c:v>
                </c:pt>
                <c:pt idx="35">
                  <c:v>1035</c:v>
                </c:pt>
                <c:pt idx="36">
                  <c:v>548</c:v>
                </c:pt>
                <c:pt idx="37">
                  <c:v>2054</c:v>
                </c:pt>
                <c:pt idx="38">
                  <c:v>302</c:v>
                </c:pt>
                <c:pt idx="39">
                  <c:v>1172</c:v>
                </c:pt>
                <c:pt idx="40">
                  <c:v>253</c:v>
                </c:pt>
                <c:pt idx="41">
                  <c:v>227</c:v>
                </c:pt>
                <c:pt idx="42">
                  <c:v>59</c:v>
                </c:pt>
                <c:pt idx="43">
                  <c:v>299</c:v>
                </c:pt>
                <c:pt idx="44">
                  <c:v>422</c:v>
                </c:pt>
                <c:pt idx="45">
                  <c:v>1058</c:v>
                </c:pt>
                <c:pt idx="46">
                  <c:v>65</c:v>
                </c:pt>
                <c:pt idx="47">
                  <c:v>390</c:v>
                </c:pt>
                <c:pt idx="48">
                  <c:v>193</c:v>
                </c:pt>
                <c:pt idx="49">
                  <c:v>1526</c:v>
                </c:pt>
                <c:pt idx="50">
                  <c:v>575</c:v>
                </c:pt>
                <c:pt idx="51">
                  <c:v>509</c:v>
                </c:pt>
                <c:pt idx="52">
                  <c:v>583</c:v>
                </c:pt>
                <c:pt idx="53">
                  <c:v>315</c:v>
                </c:pt>
                <c:pt idx="54">
                  <c:v>138</c:v>
                </c:pt>
                <c:pt idx="55">
                  <c:v>257</c:v>
                </c:pt>
                <c:pt idx="56">
                  <c:v>423</c:v>
                </c:pt>
                <c:pt idx="57">
                  <c:v>495</c:v>
                </c:pt>
                <c:pt idx="58">
                  <c:v>622</c:v>
                </c:pt>
                <c:pt idx="59">
                  <c:v>204</c:v>
                </c:pt>
                <c:pt idx="60">
                  <c:v>616</c:v>
                </c:pt>
                <c:pt idx="61">
                  <c:v>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0-7648-A0F9-0B3818FD8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908640"/>
        <c:axId val="1030910352"/>
      </c:lineChart>
      <c:catAx>
        <c:axId val="10309086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10352"/>
        <c:crosses val="autoZero"/>
        <c:auto val="1"/>
        <c:lblAlgn val="ctr"/>
        <c:lblOffset val="100"/>
        <c:noMultiLvlLbl val="0"/>
      </c:catAx>
      <c:valAx>
        <c:axId val="1030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es'!$S$92:$S$112</c:f>
              <c:numCache>
                <c:formatCode>General</c:formatCode>
                <c:ptCount val="21"/>
                <c:pt idx="0">
                  <c:v>156</c:v>
                </c:pt>
                <c:pt idx="1">
                  <c:v>202</c:v>
                </c:pt>
                <c:pt idx="2">
                  <c:v>173</c:v>
                </c:pt>
                <c:pt idx="3">
                  <c:v>331</c:v>
                </c:pt>
                <c:pt idx="4">
                  <c:v>124</c:v>
                </c:pt>
                <c:pt idx="5">
                  <c:v>339</c:v>
                </c:pt>
                <c:pt idx="6">
                  <c:v>97</c:v>
                </c:pt>
                <c:pt idx="7">
                  <c:v>257</c:v>
                </c:pt>
                <c:pt idx="8">
                  <c:v>84</c:v>
                </c:pt>
                <c:pt idx="9">
                  <c:v>211</c:v>
                </c:pt>
                <c:pt idx="10">
                  <c:v>131</c:v>
                </c:pt>
                <c:pt idx="11">
                  <c:v>112</c:v>
                </c:pt>
                <c:pt idx="12">
                  <c:v>101</c:v>
                </c:pt>
                <c:pt idx="13">
                  <c:v>74</c:v>
                </c:pt>
                <c:pt idx="14">
                  <c:v>62</c:v>
                </c:pt>
                <c:pt idx="15">
                  <c:v>289</c:v>
                </c:pt>
                <c:pt idx="16">
                  <c:v>113</c:v>
                </c:pt>
                <c:pt idx="17">
                  <c:v>141</c:v>
                </c:pt>
                <c:pt idx="18">
                  <c:v>213</c:v>
                </c:pt>
                <c:pt idx="19">
                  <c:v>137</c:v>
                </c:pt>
                <c:pt idx="20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4-EC41-A31E-A30B5C8B947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es'!$T$92:$T$112</c:f>
              <c:numCache>
                <c:formatCode>General</c:formatCode>
                <c:ptCount val="21"/>
                <c:pt idx="0">
                  <c:v>58.003500520341802</c:v>
                </c:pt>
                <c:pt idx="1">
                  <c:v>80.9798915223043</c:v>
                </c:pt>
                <c:pt idx="2">
                  <c:v>51.941290623829602</c:v>
                </c:pt>
                <c:pt idx="3">
                  <c:v>45.845348621571702</c:v>
                </c:pt>
                <c:pt idx="4">
                  <c:v>34.607928930767599</c:v>
                </c:pt>
                <c:pt idx="5">
                  <c:v>106.526719617035</c:v>
                </c:pt>
                <c:pt idx="6">
                  <c:v>28.882163026414201</c:v>
                </c:pt>
                <c:pt idx="7">
                  <c:v>84.708559906502899</c:v>
                </c:pt>
                <c:pt idx="8">
                  <c:v>35.001295770364401</c:v>
                </c:pt>
                <c:pt idx="9">
                  <c:v>66.027800032964905</c:v>
                </c:pt>
                <c:pt idx="10">
                  <c:v>40.992012172124397</c:v>
                </c:pt>
                <c:pt idx="11">
                  <c:v>38.966681576055997</c:v>
                </c:pt>
                <c:pt idx="12">
                  <c:v>35.006443732629897</c:v>
                </c:pt>
                <c:pt idx="13">
                  <c:v>25.985935758429001</c:v>
                </c:pt>
                <c:pt idx="14">
                  <c:v>21.9947060673165</c:v>
                </c:pt>
                <c:pt idx="15">
                  <c:v>102.98077927547099</c:v>
                </c:pt>
                <c:pt idx="16">
                  <c:v>40.012912119046597</c:v>
                </c:pt>
                <c:pt idx="17">
                  <c:v>49.984875983813602</c:v>
                </c:pt>
                <c:pt idx="18">
                  <c:v>76.024353246942098</c:v>
                </c:pt>
                <c:pt idx="19">
                  <c:v>50.995122316018801</c:v>
                </c:pt>
                <c:pt idx="20">
                  <c:v>33.975620460638702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D4-EC41-A31E-A30B5C8B947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es'!$U$92:$U$112</c:f>
              <c:numCache>
                <c:formatCode>General</c:formatCode>
                <c:ptCount val="21"/>
                <c:pt idx="0">
                  <c:v>63</c:v>
                </c:pt>
                <c:pt idx="1">
                  <c:v>92</c:v>
                </c:pt>
                <c:pt idx="2">
                  <c:v>56</c:v>
                </c:pt>
                <c:pt idx="3">
                  <c:v>86</c:v>
                </c:pt>
                <c:pt idx="4">
                  <c:v>32</c:v>
                </c:pt>
                <c:pt idx="5">
                  <c:v>91</c:v>
                </c:pt>
                <c:pt idx="6">
                  <c:v>35</c:v>
                </c:pt>
                <c:pt idx="7">
                  <c:v>93</c:v>
                </c:pt>
                <c:pt idx="8">
                  <c:v>36</c:v>
                </c:pt>
                <c:pt idx="9">
                  <c:v>62</c:v>
                </c:pt>
                <c:pt idx="10">
                  <c:v>45</c:v>
                </c:pt>
                <c:pt idx="11">
                  <c:v>37</c:v>
                </c:pt>
                <c:pt idx="12">
                  <c:v>32</c:v>
                </c:pt>
                <c:pt idx="13">
                  <c:v>30</c:v>
                </c:pt>
                <c:pt idx="14">
                  <c:v>21</c:v>
                </c:pt>
                <c:pt idx="15">
                  <c:v>112</c:v>
                </c:pt>
                <c:pt idx="16">
                  <c:v>39</c:v>
                </c:pt>
                <c:pt idx="17">
                  <c:v>52</c:v>
                </c:pt>
                <c:pt idx="18">
                  <c:v>80</c:v>
                </c:pt>
                <c:pt idx="19">
                  <c:v>56</c:v>
                </c:pt>
                <c:pt idx="2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D4-EC41-A31E-A30B5C8B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154991"/>
        <c:axId val="719242063"/>
      </c:lineChart>
      <c:catAx>
        <c:axId val="71915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42063"/>
        <c:crosses val="autoZero"/>
        <c:auto val="1"/>
        <c:lblAlgn val="ctr"/>
        <c:lblOffset val="100"/>
        <c:noMultiLvlLbl val="0"/>
      </c:catAx>
      <c:valAx>
        <c:axId val="71924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Hasil Estimasi Usaha: Dataset Maxwell [15]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'GACO GA comparations es'!$B$66</c:f>
              <c:strCache>
                <c:ptCount val="1"/>
                <c:pt idx="0">
                  <c:v>Estimasi Hibrida GA–ACO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es'!$B$67:$B$128</c:f>
              <c:numCache>
                <c:formatCode>General</c:formatCode>
                <c:ptCount val="62"/>
                <c:pt idx="0">
                  <c:v>647.43159543970296</c:v>
                </c:pt>
                <c:pt idx="1">
                  <c:v>129.97134697631401</c:v>
                </c:pt>
                <c:pt idx="2">
                  <c:v>253.97251711927399</c:v>
                </c:pt>
                <c:pt idx="3">
                  <c:v>1258.94555614397</c:v>
                </c:pt>
                <c:pt idx="4">
                  <c:v>672.31901612756894</c:v>
                </c:pt>
                <c:pt idx="5">
                  <c:v>344.76584368316702</c:v>
                </c:pt>
                <c:pt idx="6">
                  <c:v>683.83385780340302</c:v>
                </c:pt>
                <c:pt idx="7">
                  <c:v>819.56893897362397</c:v>
                </c:pt>
                <c:pt idx="8">
                  <c:v>1868.7522456706999</c:v>
                </c:pt>
                <c:pt idx="9">
                  <c:v>313.25407350517401</c:v>
                </c:pt>
                <c:pt idx="10">
                  <c:v>739.24273185385903</c:v>
                </c:pt>
                <c:pt idx="11">
                  <c:v>109.074953097247</c:v>
                </c:pt>
                <c:pt idx="12">
                  <c:v>118.195269673406</c:v>
                </c:pt>
                <c:pt idx="13">
                  <c:v>257.18568764997002</c:v>
                </c:pt>
                <c:pt idx="14">
                  <c:v>466.25030026551599</c:v>
                </c:pt>
                <c:pt idx="15">
                  <c:v>269.94646618380699</c:v>
                </c:pt>
                <c:pt idx="16">
                  <c:v>1850.07214585263</c:v>
                </c:pt>
                <c:pt idx="17">
                  <c:v>2480.93359893446</c:v>
                </c:pt>
                <c:pt idx="18">
                  <c:v>897.03526997049198</c:v>
                </c:pt>
                <c:pt idx="19">
                  <c:v>1387.10410880269</c:v>
                </c:pt>
                <c:pt idx="20">
                  <c:v>2954.4857140556501</c:v>
                </c:pt>
                <c:pt idx="21">
                  <c:v>434.47491910181901</c:v>
                </c:pt>
                <c:pt idx="22">
                  <c:v>659.45113270243996</c:v>
                </c:pt>
                <c:pt idx="23">
                  <c:v>805.77379675360703</c:v>
                </c:pt>
                <c:pt idx="24">
                  <c:v>467.08910178680901</c:v>
                </c:pt>
                <c:pt idx="25">
                  <c:v>3368.2451222947898</c:v>
                </c:pt>
                <c:pt idx="26">
                  <c:v>253.044700540321</c:v>
                </c:pt>
                <c:pt idx="27">
                  <c:v>195.98860461554901</c:v>
                </c:pt>
                <c:pt idx="28">
                  <c:v>209.58416195379201</c:v>
                </c:pt>
                <c:pt idx="29">
                  <c:v>387.01999667878101</c:v>
                </c:pt>
                <c:pt idx="30">
                  <c:v>429.91831436374298</c:v>
                </c:pt>
                <c:pt idx="31">
                  <c:v>204.033342039882</c:v>
                </c:pt>
                <c:pt idx="32">
                  <c:v>115.870477322867</c:v>
                </c:pt>
                <c:pt idx="33">
                  <c:v>840.40358626344801</c:v>
                </c:pt>
                <c:pt idx="34">
                  <c:v>1647.9711532652</c:v>
                </c:pt>
                <c:pt idx="35">
                  <c:v>1035.0376521225201</c:v>
                </c:pt>
                <c:pt idx="36">
                  <c:v>547.53958268709096</c:v>
                </c:pt>
                <c:pt idx="37">
                  <c:v>3965.3944893327898</c:v>
                </c:pt>
                <c:pt idx="38">
                  <c:v>1614.1805008732599</c:v>
                </c:pt>
                <c:pt idx="39">
                  <c:v>2764.9769737216602</c:v>
                </c:pt>
                <c:pt idx="40">
                  <c:v>523.86662637946199</c:v>
                </c:pt>
                <c:pt idx="41">
                  <c:v>2065.2996757667202</c:v>
                </c:pt>
                <c:pt idx="42">
                  <c:v>503.25958921037801</c:v>
                </c:pt>
                <c:pt idx="43">
                  <c:v>2568.23141299796</c:v>
                </c:pt>
                <c:pt idx="44">
                  <c:v>2822.4109115646802</c:v>
                </c:pt>
                <c:pt idx="45">
                  <c:v>3679.1926434494399</c:v>
                </c:pt>
                <c:pt idx="46">
                  <c:v>290.68049246475101</c:v>
                </c:pt>
                <c:pt idx="47">
                  <c:v>4282.1777306966897</c:v>
                </c:pt>
                <c:pt idx="48">
                  <c:v>557.55553918707096</c:v>
                </c:pt>
                <c:pt idx="49">
                  <c:v>1812.04163119395</c:v>
                </c:pt>
                <c:pt idx="50">
                  <c:v>1636.03991180766</c:v>
                </c:pt>
                <c:pt idx="51">
                  <c:v>1204.47087242974</c:v>
                </c:pt>
                <c:pt idx="52">
                  <c:v>1433.32648274075</c:v>
                </c:pt>
                <c:pt idx="53">
                  <c:v>3328.0161257755499</c:v>
                </c:pt>
                <c:pt idx="54">
                  <c:v>1077.32616836799</c:v>
                </c:pt>
                <c:pt idx="55">
                  <c:v>801.25466379262105</c:v>
                </c:pt>
                <c:pt idx="56">
                  <c:v>2909.99033441041</c:v>
                </c:pt>
                <c:pt idx="57">
                  <c:v>1846.9005202624401</c:v>
                </c:pt>
                <c:pt idx="58">
                  <c:v>1890.29218228948</c:v>
                </c:pt>
                <c:pt idx="59">
                  <c:v>1492.9469636223</c:v>
                </c:pt>
                <c:pt idx="60">
                  <c:v>2293.9279767609401</c:v>
                </c:pt>
                <c:pt idx="61">
                  <c:v>10052.638822523801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3-2D4A-9382-B7B0BC0C4519}"/>
            </c:ext>
          </c:extLst>
        </c:ser>
        <c:ser>
          <c:idx val="2"/>
          <c:order val="1"/>
          <c:tx>
            <c:strRef>
              <c:f>'GACO GA comparations es'!$C$66</c:f>
              <c:strCache>
                <c:ptCount val="1"/>
                <c:pt idx="0">
                  <c:v>Estimasi Algoritma Genetika (GA)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es'!$C$67:$C$128</c:f>
              <c:numCache>
                <c:formatCode>General</c:formatCode>
                <c:ptCount val="62"/>
                <c:pt idx="0">
                  <c:v>2100.6146631430502</c:v>
                </c:pt>
                <c:pt idx="1">
                  <c:v>198.103617639595</c:v>
                </c:pt>
                <c:pt idx="2">
                  <c:v>774.01761363510695</c:v>
                </c:pt>
                <c:pt idx="3">
                  <c:v>5091.3452885180304</c:v>
                </c:pt>
                <c:pt idx="4">
                  <c:v>772.609594553134</c:v>
                </c:pt>
                <c:pt idx="5">
                  <c:v>946.16591401230198</c:v>
                </c:pt>
                <c:pt idx="6">
                  <c:v>1416.9935853300501</c:v>
                </c:pt>
                <c:pt idx="7">
                  <c:v>2715.9217329236799</c:v>
                </c:pt>
                <c:pt idx="8">
                  <c:v>4107.3136736392798</c:v>
                </c:pt>
                <c:pt idx="9">
                  <c:v>1126.5006695453801</c:v>
                </c:pt>
                <c:pt idx="10">
                  <c:v>1261.02243210797</c:v>
                </c:pt>
                <c:pt idx="11">
                  <c:v>466.96494743932101</c:v>
                </c:pt>
                <c:pt idx="12">
                  <c:v>296.91679685133897</c:v>
                </c:pt>
                <c:pt idx="13">
                  <c:v>909.51584706074698</c:v>
                </c:pt>
                <c:pt idx="14">
                  <c:v>1194.8689118472601</c:v>
                </c:pt>
                <c:pt idx="15">
                  <c:v>488.70564134972801</c:v>
                </c:pt>
                <c:pt idx="16">
                  <c:v>9356.4051622743391</c:v>
                </c:pt>
                <c:pt idx="17">
                  <c:v>7358.4721503666897</c:v>
                </c:pt>
                <c:pt idx="18">
                  <c:v>3878.1885646714099</c:v>
                </c:pt>
                <c:pt idx="19">
                  <c:v>2184.3838744955901</c:v>
                </c:pt>
                <c:pt idx="20">
                  <c:v>4980.3818874873396</c:v>
                </c:pt>
                <c:pt idx="21">
                  <c:v>2319.1301826562699</c:v>
                </c:pt>
                <c:pt idx="22">
                  <c:v>2774.8068108990601</c:v>
                </c:pt>
                <c:pt idx="23">
                  <c:v>3773.7758734435401</c:v>
                </c:pt>
                <c:pt idx="24">
                  <c:v>2425.3049467343699</c:v>
                </c:pt>
                <c:pt idx="25">
                  <c:v>9366.8048544579306</c:v>
                </c:pt>
                <c:pt idx="26">
                  <c:v>465.073271114904</c:v>
                </c:pt>
                <c:pt idx="27">
                  <c:v>561.10806913170495</c:v>
                </c:pt>
                <c:pt idx="28">
                  <c:v>888.19696897567201</c:v>
                </c:pt>
                <c:pt idx="29">
                  <c:v>748.70937218909705</c:v>
                </c:pt>
                <c:pt idx="30">
                  <c:v>956.71788402340997</c:v>
                </c:pt>
                <c:pt idx="31">
                  <c:v>320.88529690637699</c:v>
                </c:pt>
                <c:pt idx="32">
                  <c:v>262.98073064810899</c:v>
                </c:pt>
                <c:pt idx="33">
                  <c:v>839.945024819732</c:v>
                </c:pt>
                <c:pt idx="34">
                  <c:v>1905.39168668411</c:v>
                </c:pt>
                <c:pt idx="35">
                  <c:v>1703.61252483668</c:v>
                </c:pt>
                <c:pt idx="36">
                  <c:v>1255.39795667151</c:v>
                </c:pt>
                <c:pt idx="37">
                  <c:v>6616.0757853729701</c:v>
                </c:pt>
                <c:pt idx="38">
                  <c:v>3436.9462560867501</c:v>
                </c:pt>
                <c:pt idx="39">
                  <c:v>5520.1951445477398</c:v>
                </c:pt>
                <c:pt idx="40">
                  <c:v>786.58852059963203</c:v>
                </c:pt>
                <c:pt idx="41">
                  <c:v>3410.4759872552399</c:v>
                </c:pt>
                <c:pt idx="42">
                  <c:v>639.36575453805494</c:v>
                </c:pt>
                <c:pt idx="43">
                  <c:v>3728.1790383074599</c:v>
                </c:pt>
                <c:pt idx="44">
                  <c:v>5471.14331873026</c:v>
                </c:pt>
                <c:pt idx="45">
                  <c:v>5912.7696827321597</c:v>
                </c:pt>
                <c:pt idx="46">
                  <c:v>508.70904640254901</c:v>
                </c:pt>
                <c:pt idx="47">
                  <c:v>6624.1621108650497</c:v>
                </c:pt>
                <c:pt idx="48">
                  <c:v>1165.9960759355499</c:v>
                </c:pt>
                <c:pt idx="49">
                  <c:v>3643.0050823801798</c:v>
                </c:pt>
                <c:pt idx="50">
                  <c:v>2426.2102067700298</c:v>
                </c:pt>
                <c:pt idx="51">
                  <c:v>1929.3579884129599</c:v>
                </c:pt>
                <c:pt idx="52">
                  <c:v>2768.43092306575</c:v>
                </c:pt>
                <c:pt idx="53">
                  <c:v>4748.0994474690197</c:v>
                </c:pt>
                <c:pt idx="54">
                  <c:v>1980.2408583087099</c:v>
                </c:pt>
                <c:pt idx="55">
                  <c:v>1075.8258704924899</c:v>
                </c:pt>
                <c:pt idx="56">
                  <c:v>6727.7857688213799</c:v>
                </c:pt>
                <c:pt idx="57">
                  <c:v>3967.7686932991701</c:v>
                </c:pt>
                <c:pt idx="58">
                  <c:v>3304.3267364390899</c:v>
                </c:pt>
                <c:pt idx="59">
                  <c:v>3062.7853976823899</c:v>
                </c:pt>
                <c:pt idx="60">
                  <c:v>4563.1571506475002</c:v>
                </c:pt>
                <c:pt idx="61">
                  <c:v>20353.343358911701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3-2D4A-9382-B7B0BC0C4519}"/>
            </c:ext>
          </c:extLst>
        </c:ser>
        <c:ser>
          <c:idx val="3"/>
          <c:order val="2"/>
          <c:tx>
            <c:strRef>
              <c:f>'GACO GA comparations es'!$D$66</c:f>
              <c:strCache>
                <c:ptCount val="1"/>
                <c:pt idx="0">
                  <c:v>Upaya Aktual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es'!$D$67:$D$128</c:f>
              <c:numCache>
                <c:formatCode>General</c:formatCode>
                <c:ptCount val="62"/>
                <c:pt idx="0">
                  <c:v>647</c:v>
                </c:pt>
                <c:pt idx="1">
                  <c:v>130</c:v>
                </c:pt>
                <c:pt idx="2">
                  <c:v>254</c:v>
                </c:pt>
                <c:pt idx="3">
                  <c:v>1056</c:v>
                </c:pt>
                <c:pt idx="4">
                  <c:v>383</c:v>
                </c:pt>
                <c:pt idx="5">
                  <c:v>345</c:v>
                </c:pt>
                <c:pt idx="6">
                  <c:v>209</c:v>
                </c:pt>
                <c:pt idx="7">
                  <c:v>366</c:v>
                </c:pt>
                <c:pt idx="8">
                  <c:v>1181</c:v>
                </c:pt>
                <c:pt idx="9">
                  <c:v>181</c:v>
                </c:pt>
                <c:pt idx="10">
                  <c:v>739</c:v>
                </c:pt>
                <c:pt idx="11">
                  <c:v>108</c:v>
                </c:pt>
                <c:pt idx="12">
                  <c:v>48</c:v>
                </c:pt>
                <c:pt idx="13">
                  <c:v>249</c:v>
                </c:pt>
                <c:pt idx="14">
                  <c:v>371</c:v>
                </c:pt>
                <c:pt idx="15">
                  <c:v>211</c:v>
                </c:pt>
                <c:pt idx="16">
                  <c:v>1849</c:v>
                </c:pt>
                <c:pt idx="17">
                  <c:v>2482</c:v>
                </c:pt>
                <c:pt idx="18">
                  <c:v>434</c:v>
                </c:pt>
                <c:pt idx="19">
                  <c:v>292</c:v>
                </c:pt>
                <c:pt idx="20">
                  <c:v>2954</c:v>
                </c:pt>
                <c:pt idx="21">
                  <c:v>304</c:v>
                </c:pt>
                <c:pt idx="22">
                  <c:v>353</c:v>
                </c:pt>
                <c:pt idx="23">
                  <c:v>567</c:v>
                </c:pt>
                <c:pt idx="24">
                  <c:v>467</c:v>
                </c:pt>
                <c:pt idx="25">
                  <c:v>3368</c:v>
                </c:pt>
                <c:pt idx="26">
                  <c:v>253</c:v>
                </c:pt>
                <c:pt idx="27">
                  <c:v>196</c:v>
                </c:pt>
                <c:pt idx="28">
                  <c:v>185</c:v>
                </c:pt>
                <c:pt idx="29">
                  <c:v>387</c:v>
                </c:pt>
                <c:pt idx="30">
                  <c:v>430</c:v>
                </c:pt>
                <c:pt idx="31">
                  <c:v>204</c:v>
                </c:pt>
                <c:pt idx="32">
                  <c:v>71</c:v>
                </c:pt>
                <c:pt idx="33">
                  <c:v>840</c:v>
                </c:pt>
                <c:pt idx="34">
                  <c:v>1648</c:v>
                </c:pt>
                <c:pt idx="35">
                  <c:v>1035</c:v>
                </c:pt>
                <c:pt idx="36">
                  <c:v>548</c:v>
                </c:pt>
                <c:pt idx="37">
                  <c:v>2054</c:v>
                </c:pt>
                <c:pt idx="38">
                  <c:v>302</c:v>
                </c:pt>
                <c:pt idx="39">
                  <c:v>1172</c:v>
                </c:pt>
                <c:pt idx="40">
                  <c:v>253</c:v>
                </c:pt>
                <c:pt idx="41">
                  <c:v>227</c:v>
                </c:pt>
                <c:pt idx="42">
                  <c:v>59</c:v>
                </c:pt>
                <c:pt idx="43">
                  <c:v>299</c:v>
                </c:pt>
                <c:pt idx="44">
                  <c:v>422</c:v>
                </c:pt>
                <c:pt idx="45">
                  <c:v>2058</c:v>
                </c:pt>
                <c:pt idx="46">
                  <c:v>65</c:v>
                </c:pt>
                <c:pt idx="47">
                  <c:v>390</c:v>
                </c:pt>
                <c:pt idx="48">
                  <c:v>193</c:v>
                </c:pt>
                <c:pt idx="49">
                  <c:v>1526</c:v>
                </c:pt>
                <c:pt idx="50">
                  <c:v>575</c:v>
                </c:pt>
                <c:pt idx="51">
                  <c:v>509</c:v>
                </c:pt>
                <c:pt idx="52">
                  <c:v>583</c:v>
                </c:pt>
                <c:pt idx="53">
                  <c:v>315</c:v>
                </c:pt>
                <c:pt idx="54">
                  <c:v>138</c:v>
                </c:pt>
                <c:pt idx="55">
                  <c:v>257</c:v>
                </c:pt>
                <c:pt idx="56">
                  <c:v>423</c:v>
                </c:pt>
                <c:pt idx="57">
                  <c:v>495</c:v>
                </c:pt>
                <c:pt idx="58">
                  <c:v>622</c:v>
                </c:pt>
                <c:pt idx="59">
                  <c:v>204</c:v>
                </c:pt>
                <c:pt idx="60">
                  <c:v>616</c:v>
                </c:pt>
                <c:pt idx="61">
                  <c:v>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3-2D4A-9382-B7B0BC0C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365616"/>
        <c:axId val="1531058752"/>
      </c:lineChart>
      <c:catAx>
        <c:axId val="177036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58752"/>
        <c:crosses val="autoZero"/>
        <c:auto val="0"/>
        <c:lblAlgn val="ctr"/>
        <c:lblOffset val="100"/>
        <c:noMultiLvlLbl val="0"/>
      </c:catAx>
      <c:valAx>
        <c:axId val="15310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Hasil Estimasi Usaha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65616"/>
        <c:crossesAt val="1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Hasil Estimasi Usaha: Dataset Ziauddin [6]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'GACO GA comparations es'!$T$67</c:f>
              <c:strCache>
                <c:ptCount val="1"/>
                <c:pt idx="0">
                  <c:v>Estimasi Hibrida GA–ACO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es'!$T$68:$T$88</c:f>
              <c:numCache>
                <c:formatCode>General</c:formatCode>
                <c:ptCount val="21"/>
                <c:pt idx="0">
                  <c:v>63.003666303430499</c:v>
                </c:pt>
                <c:pt idx="1">
                  <c:v>92.009085118331299</c:v>
                </c:pt>
                <c:pt idx="2">
                  <c:v>56.001041792351501</c:v>
                </c:pt>
                <c:pt idx="3">
                  <c:v>62.044162674737002</c:v>
                </c:pt>
                <c:pt idx="4">
                  <c:v>32.007668137332402</c:v>
                </c:pt>
                <c:pt idx="5">
                  <c:v>82.682926829268297</c:v>
                </c:pt>
                <c:pt idx="6">
                  <c:v>34.998924903471703</c:v>
                </c:pt>
                <c:pt idx="7">
                  <c:v>93.000114795762897</c:v>
                </c:pt>
                <c:pt idx="8">
                  <c:v>35.997614024055899</c:v>
                </c:pt>
                <c:pt idx="9">
                  <c:v>62.004323339058402</c:v>
                </c:pt>
                <c:pt idx="10">
                  <c:v>44.995390473057903</c:v>
                </c:pt>
                <c:pt idx="11">
                  <c:v>36.997521899967701</c:v>
                </c:pt>
                <c:pt idx="12">
                  <c:v>32.001373384709701</c:v>
                </c:pt>
                <c:pt idx="13">
                  <c:v>29.998193975006799</c:v>
                </c:pt>
                <c:pt idx="14">
                  <c:v>20.999647705184302</c:v>
                </c:pt>
                <c:pt idx="15">
                  <c:v>112.00142943287899</c:v>
                </c:pt>
                <c:pt idx="16">
                  <c:v>38.999481549977297</c:v>
                </c:pt>
                <c:pt idx="17">
                  <c:v>52.004122102363702</c:v>
                </c:pt>
                <c:pt idx="18">
                  <c:v>79.993137870771307</c:v>
                </c:pt>
                <c:pt idx="19">
                  <c:v>55.998801474437499</c:v>
                </c:pt>
                <c:pt idx="20">
                  <c:v>35.000221682032702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D-C44D-8C06-F8E0C9404DE2}"/>
            </c:ext>
          </c:extLst>
        </c:ser>
        <c:ser>
          <c:idx val="2"/>
          <c:order val="1"/>
          <c:tx>
            <c:strRef>
              <c:f>'GACO GA comparations es'!$U$67</c:f>
              <c:strCache>
                <c:ptCount val="1"/>
                <c:pt idx="0">
                  <c:v>Estimasi Algoritma Genetika (GA)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es'!$U$68:$U$88</c:f>
              <c:numCache>
                <c:formatCode>General</c:formatCode>
                <c:ptCount val="21"/>
                <c:pt idx="0">
                  <c:v>63.0250904821158</c:v>
                </c:pt>
                <c:pt idx="1">
                  <c:v>92.002315601860005</c:v>
                </c:pt>
                <c:pt idx="2">
                  <c:v>56.007760073605397</c:v>
                </c:pt>
                <c:pt idx="3">
                  <c:v>58.989173090141499</c:v>
                </c:pt>
                <c:pt idx="4">
                  <c:v>32.023904830461099</c:v>
                </c:pt>
                <c:pt idx="5">
                  <c:v>88.048333213222193</c:v>
                </c:pt>
                <c:pt idx="6">
                  <c:v>34.9995116425346</c:v>
                </c:pt>
                <c:pt idx="7">
                  <c:v>92.992673478323496</c:v>
                </c:pt>
                <c:pt idx="8">
                  <c:v>35.972814002633598</c:v>
                </c:pt>
                <c:pt idx="9">
                  <c:v>61.996183007537297</c:v>
                </c:pt>
                <c:pt idx="10">
                  <c:v>44.982336714309099</c:v>
                </c:pt>
                <c:pt idx="11">
                  <c:v>37.026372587940699</c:v>
                </c:pt>
                <c:pt idx="12">
                  <c:v>32.003296715180902</c:v>
                </c:pt>
                <c:pt idx="13">
                  <c:v>30.007856773382901</c:v>
                </c:pt>
                <c:pt idx="14">
                  <c:v>20.991726679146598</c:v>
                </c:pt>
                <c:pt idx="15">
                  <c:v>111.983790915757</c:v>
                </c:pt>
                <c:pt idx="16">
                  <c:v>39.016398198156097</c:v>
                </c:pt>
                <c:pt idx="17">
                  <c:v>52.025175745417897</c:v>
                </c:pt>
                <c:pt idx="18">
                  <c:v>79.978432470762698</c:v>
                </c:pt>
                <c:pt idx="19">
                  <c:v>56.016475463658097</c:v>
                </c:pt>
                <c:pt idx="20">
                  <c:v>35.016732581727403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6D-C44D-8C06-F8E0C9404DE2}"/>
            </c:ext>
          </c:extLst>
        </c:ser>
        <c:ser>
          <c:idx val="3"/>
          <c:order val="2"/>
          <c:tx>
            <c:strRef>
              <c:f>'GACO GA comparations es'!$V$67</c:f>
              <c:strCache>
                <c:ptCount val="1"/>
                <c:pt idx="0">
                  <c:v>Upaya Aktual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'GACO GA comparations es'!$V$68:$V$88</c:f>
              <c:numCache>
                <c:formatCode>General</c:formatCode>
                <c:ptCount val="21"/>
                <c:pt idx="0">
                  <c:v>63</c:v>
                </c:pt>
                <c:pt idx="1">
                  <c:v>92</c:v>
                </c:pt>
                <c:pt idx="2">
                  <c:v>56</c:v>
                </c:pt>
                <c:pt idx="3">
                  <c:v>86</c:v>
                </c:pt>
                <c:pt idx="4">
                  <c:v>32</c:v>
                </c:pt>
                <c:pt idx="5">
                  <c:v>32</c:v>
                </c:pt>
                <c:pt idx="6">
                  <c:v>35</c:v>
                </c:pt>
                <c:pt idx="7">
                  <c:v>93</c:v>
                </c:pt>
                <c:pt idx="8">
                  <c:v>36</c:v>
                </c:pt>
                <c:pt idx="9">
                  <c:v>62</c:v>
                </c:pt>
                <c:pt idx="10">
                  <c:v>45</c:v>
                </c:pt>
                <c:pt idx="11">
                  <c:v>37</c:v>
                </c:pt>
                <c:pt idx="12">
                  <c:v>32</c:v>
                </c:pt>
                <c:pt idx="13">
                  <c:v>30</c:v>
                </c:pt>
                <c:pt idx="14">
                  <c:v>21</c:v>
                </c:pt>
                <c:pt idx="15">
                  <c:v>112</c:v>
                </c:pt>
                <c:pt idx="16">
                  <c:v>39</c:v>
                </c:pt>
                <c:pt idx="17">
                  <c:v>52</c:v>
                </c:pt>
                <c:pt idx="18">
                  <c:v>80</c:v>
                </c:pt>
                <c:pt idx="19">
                  <c:v>56</c:v>
                </c:pt>
                <c:pt idx="2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6D-C44D-8C06-F8E0C940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231552"/>
        <c:axId val="1852689376"/>
      </c:lineChart>
      <c:catAx>
        <c:axId val="202223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89376"/>
        <c:crosses val="autoZero"/>
        <c:auto val="1"/>
        <c:lblAlgn val="ctr"/>
        <c:lblOffset val="100"/>
        <c:noMultiLvlLbl val="0"/>
      </c:catAx>
      <c:valAx>
        <c:axId val="18526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Hasil Estimasi Usaha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Effort estimation used gaco with dataset maxwell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'Uji Coba'!$A$3:$A$64</c:f>
              <c:numCache>
                <c:formatCode>General</c:formatCode>
                <c:ptCount val="62"/>
                <c:pt idx="0">
                  <c:v>7871</c:v>
                </c:pt>
                <c:pt idx="1">
                  <c:v>845</c:v>
                </c:pt>
                <c:pt idx="2">
                  <c:v>2330</c:v>
                </c:pt>
                <c:pt idx="3">
                  <c:v>21272</c:v>
                </c:pt>
                <c:pt idx="4">
                  <c:v>4224</c:v>
                </c:pt>
                <c:pt idx="5">
                  <c:v>2826</c:v>
                </c:pt>
                <c:pt idx="6">
                  <c:v>7320</c:v>
                </c:pt>
                <c:pt idx="7">
                  <c:v>9125</c:v>
                </c:pt>
                <c:pt idx="8">
                  <c:v>11900</c:v>
                </c:pt>
                <c:pt idx="9">
                  <c:v>4300</c:v>
                </c:pt>
                <c:pt idx="10">
                  <c:v>4150</c:v>
                </c:pt>
                <c:pt idx="11">
                  <c:v>900</c:v>
                </c:pt>
                <c:pt idx="12">
                  <c:v>583</c:v>
                </c:pt>
                <c:pt idx="13">
                  <c:v>2565</c:v>
                </c:pt>
                <c:pt idx="14">
                  <c:v>4047</c:v>
                </c:pt>
                <c:pt idx="15">
                  <c:v>1520</c:v>
                </c:pt>
                <c:pt idx="16">
                  <c:v>25910</c:v>
                </c:pt>
                <c:pt idx="17">
                  <c:v>37286</c:v>
                </c:pt>
                <c:pt idx="18">
                  <c:v>15052</c:v>
                </c:pt>
                <c:pt idx="19">
                  <c:v>11039</c:v>
                </c:pt>
                <c:pt idx="20">
                  <c:v>18500</c:v>
                </c:pt>
                <c:pt idx="21">
                  <c:v>9369</c:v>
                </c:pt>
                <c:pt idx="22">
                  <c:v>7184</c:v>
                </c:pt>
                <c:pt idx="23">
                  <c:v>10447</c:v>
                </c:pt>
                <c:pt idx="24">
                  <c:v>5100</c:v>
                </c:pt>
                <c:pt idx="25">
                  <c:v>63694</c:v>
                </c:pt>
                <c:pt idx="26">
                  <c:v>1651</c:v>
                </c:pt>
                <c:pt idx="27">
                  <c:v>1450</c:v>
                </c:pt>
                <c:pt idx="28">
                  <c:v>1745</c:v>
                </c:pt>
                <c:pt idx="29">
                  <c:v>1798</c:v>
                </c:pt>
                <c:pt idx="30">
                  <c:v>2957</c:v>
                </c:pt>
                <c:pt idx="31">
                  <c:v>963</c:v>
                </c:pt>
                <c:pt idx="32">
                  <c:v>1233</c:v>
                </c:pt>
                <c:pt idx="33">
                  <c:v>3240</c:v>
                </c:pt>
                <c:pt idx="34">
                  <c:v>10000</c:v>
                </c:pt>
                <c:pt idx="35">
                  <c:v>6800</c:v>
                </c:pt>
                <c:pt idx="36">
                  <c:v>3850</c:v>
                </c:pt>
                <c:pt idx="37">
                  <c:v>14000</c:v>
                </c:pt>
                <c:pt idx="38">
                  <c:v>5787</c:v>
                </c:pt>
                <c:pt idx="39">
                  <c:v>9700</c:v>
                </c:pt>
                <c:pt idx="40">
                  <c:v>1100</c:v>
                </c:pt>
                <c:pt idx="41">
                  <c:v>5578</c:v>
                </c:pt>
                <c:pt idx="42">
                  <c:v>1060</c:v>
                </c:pt>
                <c:pt idx="43">
                  <c:v>5279</c:v>
                </c:pt>
                <c:pt idx="44">
                  <c:v>8117</c:v>
                </c:pt>
                <c:pt idx="45">
                  <c:v>8710</c:v>
                </c:pt>
                <c:pt idx="46">
                  <c:v>796</c:v>
                </c:pt>
                <c:pt idx="47">
                  <c:v>11023</c:v>
                </c:pt>
                <c:pt idx="48">
                  <c:v>1755</c:v>
                </c:pt>
                <c:pt idx="49">
                  <c:v>5931</c:v>
                </c:pt>
                <c:pt idx="50">
                  <c:v>4456</c:v>
                </c:pt>
                <c:pt idx="51">
                  <c:v>3600</c:v>
                </c:pt>
                <c:pt idx="52">
                  <c:v>4557</c:v>
                </c:pt>
                <c:pt idx="53">
                  <c:v>8752</c:v>
                </c:pt>
                <c:pt idx="54">
                  <c:v>3440</c:v>
                </c:pt>
                <c:pt idx="55">
                  <c:v>1981</c:v>
                </c:pt>
                <c:pt idx="56">
                  <c:v>13700</c:v>
                </c:pt>
                <c:pt idx="57">
                  <c:v>7105</c:v>
                </c:pt>
                <c:pt idx="58">
                  <c:v>6816</c:v>
                </c:pt>
                <c:pt idx="59">
                  <c:v>4620</c:v>
                </c:pt>
                <c:pt idx="60">
                  <c:v>7451</c:v>
                </c:pt>
                <c:pt idx="61">
                  <c:v>39479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A-7246-8CFC-1EF3ECA9A66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'Uji Coba'!$B$3:$B$64</c:f>
              <c:numCache>
                <c:formatCode>General</c:formatCode>
                <c:ptCount val="62"/>
                <c:pt idx="0">
                  <c:v>646.83151006971696</c:v>
                </c:pt>
                <c:pt idx="1">
                  <c:v>129.95395474635299</c:v>
                </c:pt>
                <c:pt idx="2">
                  <c:v>254.023313215999</c:v>
                </c:pt>
                <c:pt idx="3">
                  <c:v>1056.43957986501</c:v>
                </c:pt>
                <c:pt idx="4">
                  <c:v>383.25147969895698</c:v>
                </c:pt>
                <c:pt idx="5">
                  <c:v>488.56729520112299</c:v>
                </c:pt>
                <c:pt idx="6">
                  <c:v>844.89406279341802</c:v>
                </c:pt>
                <c:pt idx="7">
                  <c:v>1030.7606993433301</c:v>
                </c:pt>
                <c:pt idx="8">
                  <c:v>1180.7281013700299</c:v>
                </c:pt>
                <c:pt idx="9">
                  <c:v>479.93807599412099</c:v>
                </c:pt>
                <c:pt idx="10">
                  <c:v>735.23100709680205</c:v>
                </c:pt>
                <c:pt idx="11">
                  <c:v>108.02470803881999</c:v>
                </c:pt>
                <c:pt idx="12">
                  <c:v>114.199904630216</c:v>
                </c:pt>
                <c:pt idx="13">
                  <c:v>275.52638612441098</c:v>
                </c:pt>
                <c:pt idx="14">
                  <c:v>371.02563561209399</c:v>
                </c:pt>
                <c:pt idx="15">
                  <c:v>211.54832325580199</c:v>
                </c:pt>
                <c:pt idx="16">
                  <c:v>1849.42099662384</c:v>
                </c:pt>
                <c:pt idx="17">
                  <c:v>2479.7645828024401</c:v>
                </c:pt>
                <c:pt idx="18">
                  <c:v>919.48346884938098</c:v>
                </c:pt>
                <c:pt idx="19">
                  <c:v>883.18986862215104</c:v>
                </c:pt>
                <c:pt idx="20">
                  <c:v>2953.9568771911399</c:v>
                </c:pt>
                <c:pt idx="21">
                  <c:v>414.199386996805</c:v>
                </c:pt>
                <c:pt idx="22">
                  <c:v>680.39177022519902</c:v>
                </c:pt>
                <c:pt idx="23">
                  <c:v>904.81614759265699</c:v>
                </c:pt>
                <c:pt idx="24">
                  <c:v>535.77565118810696</c:v>
                </c:pt>
                <c:pt idx="25">
                  <c:v>3368.06104145472</c:v>
                </c:pt>
                <c:pt idx="26">
                  <c:v>253.08465119687199</c:v>
                </c:pt>
                <c:pt idx="27">
                  <c:v>196.058294492268</c:v>
                </c:pt>
                <c:pt idx="28">
                  <c:v>219.699915634771</c:v>
                </c:pt>
                <c:pt idx="29">
                  <c:v>387.04089250512402</c:v>
                </c:pt>
                <c:pt idx="30">
                  <c:v>430.17924022545702</c:v>
                </c:pt>
                <c:pt idx="31">
                  <c:v>204.01914937184301</c:v>
                </c:pt>
                <c:pt idx="32">
                  <c:v>92.692998860935504</c:v>
                </c:pt>
                <c:pt idx="33">
                  <c:v>839.99823121594397</c:v>
                </c:pt>
                <c:pt idx="34">
                  <c:v>1648.0457990004199</c:v>
                </c:pt>
                <c:pt idx="35">
                  <c:v>1034.88948247449</c:v>
                </c:pt>
                <c:pt idx="36">
                  <c:v>547.87800346413997</c:v>
                </c:pt>
                <c:pt idx="37">
                  <c:v>3412.00440805577</c:v>
                </c:pt>
                <c:pt idx="38">
                  <c:v>1734.0391255895599</c:v>
                </c:pt>
                <c:pt idx="39">
                  <c:v>2762.7875518072901</c:v>
                </c:pt>
                <c:pt idx="40">
                  <c:v>504.292752897941</c:v>
                </c:pt>
                <c:pt idx="41">
                  <c:v>1856.8167915372901</c:v>
                </c:pt>
                <c:pt idx="42">
                  <c:v>468.891472826572</c:v>
                </c:pt>
                <c:pt idx="43">
                  <c:v>2569.8673176157299</c:v>
                </c:pt>
                <c:pt idx="44">
                  <c:v>3101.4175465573198</c:v>
                </c:pt>
                <c:pt idx="45">
                  <c:v>3712.8771124370801</c:v>
                </c:pt>
                <c:pt idx="46">
                  <c:v>340.71462499212203</c:v>
                </c:pt>
                <c:pt idx="47">
                  <c:v>3769.36500564775</c:v>
                </c:pt>
                <c:pt idx="48">
                  <c:v>608.23445419751499</c:v>
                </c:pt>
                <c:pt idx="49">
                  <c:v>1525.5359891299099</c:v>
                </c:pt>
                <c:pt idx="50">
                  <c:v>1766.4881066898199</c:v>
                </c:pt>
                <c:pt idx="51">
                  <c:v>1251.27461339964</c:v>
                </c:pt>
                <c:pt idx="52">
                  <c:v>1663.41988842725</c:v>
                </c:pt>
                <c:pt idx="53">
                  <c:v>2634.4385012405901</c:v>
                </c:pt>
                <c:pt idx="54">
                  <c:v>1198.2094545611001</c:v>
                </c:pt>
                <c:pt idx="55">
                  <c:v>804.29811850333101</c:v>
                </c:pt>
                <c:pt idx="56">
                  <c:v>3241.3470199496401</c:v>
                </c:pt>
                <c:pt idx="57">
                  <c:v>2598.0874125471701</c:v>
                </c:pt>
                <c:pt idx="58">
                  <c:v>2036.7849664718699</c:v>
                </c:pt>
                <c:pt idx="59">
                  <c:v>1458.23606500356</c:v>
                </c:pt>
                <c:pt idx="60">
                  <c:v>2435.01161808282</c:v>
                </c:pt>
                <c:pt idx="61">
                  <c:v>8704.0850160253995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A-7246-8CFC-1EF3ECA9A66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'Uji Coba'!$C$3:$C$64</c:f>
              <c:numCache>
                <c:formatCode>General</c:formatCode>
                <c:ptCount val="62"/>
                <c:pt idx="0">
                  <c:v>647</c:v>
                </c:pt>
                <c:pt idx="1">
                  <c:v>130</c:v>
                </c:pt>
                <c:pt idx="2">
                  <c:v>254</c:v>
                </c:pt>
                <c:pt idx="3">
                  <c:v>1056</c:v>
                </c:pt>
                <c:pt idx="4">
                  <c:v>383</c:v>
                </c:pt>
                <c:pt idx="5">
                  <c:v>345</c:v>
                </c:pt>
                <c:pt idx="6">
                  <c:v>209</c:v>
                </c:pt>
                <c:pt idx="7">
                  <c:v>366</c:v>
                </c:pt>
                <c:pt idx="8">
                  <c:v>1181</c:v>
                </c:pt>
                <c:pt idx="9">
                  <c:v>181</c:v>
                </c:pt>
                <c:pt idx="10">
                  <c:v>739</c:v>
                </c:pt>
                <c:pt idx="11">
                  <c:v>108</c:v>
                </c:pt>
                <c:pt idx="12">
                  <c:v>48</c:v>
                </c:pt>
                <c:pt idx="13">
                  <c:v>249</c:v>
                </c:pt>
                <c:pt idx="14">
                  <c:v>371</c:v>
                </c:pt>
                <c:pt idx="15">
                  <c:v>211</c:v>
                </c:pt>
                <c:pt idx="16">
                  <c:v>1849</c:v>
                </c:pt>
                <c:pt idx="17">
                  <c:v>2482</c:v>
                </c:pt>
                <c:pt idx="18">
                  <c:v>434</c:v>
                </c:pt>
                <c:pt idx="19">
                  <c:v>292</c:v>
                </c:pt>
                <c:pt idx="20">
                  <c:v>2954</c:v>
                </c:pt>
                <c:pt idx="21">
                  <c:v>304</c:v>
                </c:pt>
                <c:pt idx="22">
                  <c:v>353</c:v>
                </c:pt>
                <c:pt idx="23">
                  <c:v>567</c:v>
                </c:pt>
                <c:pt idx="24">
                  <c:v>467</c:v>
                </c:pt>
                <c:pt idx="25">
                  <c:v>3368</c:v>
                </c:pt>
                <c:pt idx="26">
                  <c:v>253</c:v>
                </c:pt>
                <c:pt idx="27">
                  <c:v>196</c:v>
                </c:pt>
                <c:pt idx="28">
                  <c:v>185</c:v>
                </c:pt>
                <c:pt idx="29">
                  <c:v>387</c:v>
                </c:pt>
                <c:pt idx="30">
                  <c:v>430</c:v>
                </c:pt>
                <c:pt idx="31">
                  <c:v>204</c:v>
                </c:pt>
                <c:pt idx="32">
                  <c:v>71</c:v>
                </c:pt>
                <c:pt idx="33">
                  <c:v>840</c:v>
                </c:pt>
                <c:pt idx="34">
                  <c:v>1648</c:v>
                </c:pt>
                <c:pt idx="35">
                  <c:v>1035</c:v>
                </c:pt>
                <c:pt idx="36">
                  <c:v>548</c:v>
                </c:pt>
                <c:pt idx="37">
                  <c:v>2054</c:v>
                </c:pt>
                <c:pt idx="38">
                  <c:v>302</c:v>
                </c:pt>
                <c:pt idx="39">
                  <c:v>1172</c:v>
                </c:pt>
                <c:pt idx="40">
                  <c:v>253</c:v>
                </c:pt>
                <c:pt idx="41">
                  <c:v>227</c:v>
                </c:pt>
                <c:pt idx="42">
                  <c:v>59</c:v>
                </c:pt>
                <c:pt idx="43">
                  <c:v>299</c:v>
                </c:pt>
                <c:pt idx="44">
                  <c:v>422</c:v>
                </c:pt>
                <c:pt idx="45">
                  <c:v>1058</c:v>
                </c:pt>
                <c:pt idx="46">
                  <c:v>65</c:v>
                </c:pt>
                <c:pt idx="47">
                  <c:v>390</c:v>
                </c:pt>
                <c:pt idx="48">
                  <c:v>193</c:v>
                </c:pt>
                <c:pt idx="49">
                  <c:v>1526</c:v>
                </c:pt>
                <c:pt idx="50">
                  <c:v>575</c:v>
                </c:pt>
                <c:pt idx="51">
                  <c:v>509</c:v>
                </c:pt>
                <c:pt idx="52">
                  <c:v>583</c:v>
                </c:pt>
                <c:pt idx="53">
                  <c:v>315</c:v>
                </c:pt>
                <c:pt idx="54">
                  <c:v>138</c:v>
                </c:pt>
                <c:pt idx="55">
                  <c:v>257</c:v>
                </c:pt>
                <c:pt idx="56">
                  <c:v>423</c:v>
                </c:pt>
                <c:pt idx="57">
                  <c:v>495</c:v>
                </c:pt>
                <c:pt idx="58">
                  <c:v>622</c:v>
                </c:pt>
                <c:pt idx="59">
                  <c:v>204</c:v>
                </c:pt>
                <c:pt idx="60">
                  <c:v>616</c:v>
                </c:pt>
                <c:pt idx="61">
                  <c:v>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AA-7246-8CFC-1EF3ECA9A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491760"/>
        <c:axId val="546506800"/>
      </c:lineChart>
      <c:catAx>
        <c:axId val="54649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06800"/>
        <c:crosses val="autoZero"/>
        <c:auto val="1"/>
        <c:lblAlgn val="ctr"/>
        <c:lblOffset val="100"/>
        <c:noMultiLvlLbl val="0"/>
      </c:catAx>
      <c:valAx>
        <c:axId val="5465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9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effort estimation used ga with dataset zia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'Uji Coba'!$A$68:$A$129</c:f>
              <c:numCache>
                <c:formatCode>General</c:formatCode>
                <c:ptCount val="62"/>
                <c:pt idx="0">
                  <c:v>7871</c:v>
                </c:pt>
                <c:pt idx="1">
                  <c:v>845</c:v>
                </c:pt>
                <c:pt idx="2">
                  <c:v>2330</c:v>
                </c:pt>
                <c:pt idx="3">
                  <c:v>21272</c:v>
                </c:pt>
                <c:pt idx="4">
                  <c:v>4224</c:v>
                </c:pt>
                <c:pt idx="5">
                  <c:v>2826</c:v>
                </c:pt>
                <c:pt idx="6">
                  <c:v>7320</c:v>
                </c:pt>
                <c:pt idx="7">
                  <c:v>9125</c:v>
                </c:pt>
                <c:pt idx="8">
                  <c:v>11900</c:v>
                </c:pt>
                <c:pt idx="9">
                  <c:v>4300</c:v>
                </c:pt>
                <c:pt idx="10">
                  <c:v>4150</c:v>
                </c:pt>
                <c:pt idx="11">
                  <c:v>900</c:v>
                </c:pt>
                <c:pt idx="12">
                  <c:v>583</c:v>
                </c:pt>
                <c:pt idx="13">
                  <c:v>2565</c:v>
                </c:pt>
                <c:pt idx="14">
                  <c:v>4047</c:v>
                </c:pt>
                <c:pt idx="15">
                  <c:v>1520</c:v>
                </c:pt>
                <c:pt idx="16">
                  <c:v>25910</c:v>
                </c:pt>
                <c:pt idx="17">
                  <c:v>37286</c:v>
                </c:pt>
                <c:pt idx="18">
                  <c:v>15052</c:v>
                </c:pt>
                <c:pt idx="19">
                  <c:v>11039</c:v>
                </c:pt>
                <c:pt idx="20">
                  <c:v>18500</c:v>
                </c:pt>
                <c:pt idx="21">
                  <c:v>9369</c:v>
                </c:pt>
                <c:pt idx="22">
                  <c:v>7184</c:v>
                </c:pt>
                <c:pt idx="23">
                  <c:v>10447</c:v>
                </c:pt>
                <c:pt idx="24">
                  <c:v>5100</c:v>
                </c:pt>
                <c:pt idx="25">
                  <c:v>63694</c:v>
                </c:pt>
                <c:pt idx="26">
                  <c:v>1651</c:v>
                </c:pt>
                <c:pt idx="27">
                  <c:v>1450</c:v>
                </c:pt>
                <c:pt idx="28">
                  <c:v>1745</c:v>
                </c:pt>
                <c:pt idx="29">
                  <c:v>1798</c:v>
                </c:pt>
                <c:pt idx="30">
                  <c:v>2957</c:v>
                </c:pt>
                <c:pt idx="31">
                  <c:v>963</c:v>
                </c:pt>
                <c:pt idx="32">
                  <c:v>1233</c:v>
                </c:pt>
                <c:pt idx="33">
                  <c:v>3240</c:v>
                </c:pt>
                <c:pt idx="34">
                  <c:v>10000</c:v>
                </c:pt>
                <c:pt idx="35">
                  <c:v>6800</c:v>
                </c:pt>
                <c:pt idx="36">
                  <c:v>3850</c:v>
                </c:pt>
                <c:pt idx="37">
                  <c:v>14000</c:v>
                </c:pt>
                <c:pt idx="38">
                  <c:v>5787</c:v>
                </c:pt>
                <c:pt idx="39">
                  <c:v>9700</c:v>
                </c:pt>
                <c:pt idx="40">
                  <c:v>1100</c:v>
                </c:pt>
                <c:pt idx="41">
                  <c:v>5578</c:v>
                </c:pt>
                <c:pt idx="42">
                  <c:v>1060</c:v>
                </c:pt>
                <c:pt idx="43">
                  <c:v>5279</c:v>
                </c:pt>
                <c:pt idx="44">
                  <c:v>8117</c:v>
                </c:pt>
                <c:pt idx="45">
                  <c:v>8710</c:v>
                </c:pt>
                <c:pt idx="46">
                  <c:v>796</c:v>
                </c:pt>
                <c:pt idx="47">
                  <c:v>11023</c:v>
                </c:pt>
                <c:pt idx="48">
                  <c:v>1755</c:v>
                </c:pt>
                <c:pt idx="49">
                  <c:v>5931</c:v>
                </c:pt>
                <c:pt idx="50">
                  <c:v>4456</c:v>
                </c:pt>
                <c:pt idx="51">
                  <c:v>3600</c:v>
                </c:pt>
                <c:pt idx="52">
                  <c:v>4557</c:v>
                </c:pt>
                <c:pt idx="53">
                  <c:v>8752</c:v>
                </c:pt>
                <c:pt idx="54">
                  <c:v>3440</c:v>
                </c:pt>
                <c:pt idx="55">
                  <c:v>1981</c:v>
                </c:pt>
                <c:pt idx="56">
                  <c:v>13700</c:v>
                </c:pt>
                <c:pt idx="57">
                  <c:v>7105</c:v>
                </c:pt>
                <c:pt idx="58">
                  <c:v>6816</c:v>
                </c:pt>
                <c:pt idx="59">
                  <c:v>4620</c:v>
                </c:pt>
                <c:pt idx="60">
                  <c:v>7451</c:v>
                </c:pt>
                <c:pt idx="61">
                  <c:v>39479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3-5F4C-8256-E4BB5A92CC7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'Uji Coba'!$B$68:$B$129</c:f>
              <c:numCache>
                <c:formatCode>General</c:formatCode>
                <c:ptCount val="62"/>
                <c:pt idx="0">
                  <c:v>6461.6741277888204</c:v>
                </c:pt>
                <c:pt idx="1">
                  <c:v>635.08677400087004</c:v>
                </c:pt>
                <c:pt idx="2">
                  <c:v>1823.7314970384</c:v>
                </c:pt>
                <c:pt idx="3">
                  <c:v>14667.997397263</c:v>
                </c:pt>
                <c:pt idx="4">
                  <c:v>3173.91607923419</c:v>
                </c:pt>
                <c:pt idx="5">
                  <c:v>1841.5970589389799</c:v>
                </c:pt>
                <c:pt idx="6">
                  <c:v>4607.1151247216103</c:v>
                </c:pt>
                <c:pt idx="7">
                  <c:v>5153.1027651958002</c:v>
                </c:pt>
                <c:pt idx="8">
                  <c:v>9653.6423935661296</c:v>
                </c:pt>
                <c:pt idx="9">
                  <c:v>2983.5057358736399</c:v>
                </c:pt>
                <c:pt idx="10">
                  <c:v>3001.2859893478098</c:v>
                </c:pt>
                <c:pt idx="11">
                  <c:v>737.56746138294</c:v>
                </c:pt>
                <c:pt idx="12">
                  <c:v>403.17773067881302</c:v>
                </c:pt>
                <c:pt idx="13">
                  <c:v>2006.8297096336</c:v>
                </c:pt>
                <c:pt idx="14">
                  <c:v>2455.53860967542</c:v>
                </c:pt>
                <c:pt idx="15">
                  <c:v>1101.4790038343599</c:v>
                </c:pt>
                <c:pt idx="16">
                  <c:v>19360.267485285302</c:v>
                </c:pt>
                <c:pt idx="17">
                  <c:v>24373.308048367198</c:v>
                </c:pt>
                <c:pt idx="18">
                  <c:v>9305.2509688486298</c:v>
                </c:pt>
                <c:pt idx="19">
                  <c:v>8960.3702136470092</c:v>
                </c:pt>
                <c:pt idx="20">
                  <c:v>14929.927783663299</c:v>
                </c:pt>
                <c:pt idx="21">
                  <c:v>6624.1989126829903</c:v>
                </c:pt>
                <c:pt idx="22">
                  <c:v>5932.9073886132501</c:v>
                </c:pt>
                <c:pt idx="23">
                  <c:v>8099.0881059731901</c:v>
                </c:pt>
                <c:pt idx="24">
                  <c:v>3370.49427624793</c:v>
                </c:pt>
                <c:pt idx="25">
                  <c:v>37146.7604118487</c:v>
                </c:pt>
                <c:pt idx="26">
                  <c:v>1273.8222501191101</c:v>
                </c:pt>
                <c:pt idx="27">
                  <c:v>1113.7154383741399</c:v>
                </c:pt>
                <c:pt idx="28">
                  <c:v>1429.09783433143</c:v>
                </c:pt>
                <c:pt idx="29">
                  <c:v>1210.1159216584899</c:v>
                </c:pt>
                <c:pt idx="30">
                  <c:v>2332.52685276579</c:v>
                </c:pt>
                <c:pt idx="31">
                  <c:v>762.87638837264399</c:v>
                </c:pt>
                <c:pt idx="32">
                  <c:v>934.80819489824501</c:v>
                </c:pt>
                <c:pt idx="33">
                  <c:v>2407.9716849925599</c:v>
                </c:pt>
                <c:pt idx="34">
                  <c:v>6980.3854919850801</c:v>
                </c:pt>
                <c:pt idx="35">
                  <c:v>4599.1112675576696</c:v>
                </c:pt>
                <c:pt idx="36">
                  <c:v>2855.9761080119201</c:v>
                </c:pt>
                <c:pt idx="37">
                  <c:v>11282.714400078001</c:v>
                </c:pt>
                <c:pt idx="38">
                  <c:v>5236.6614090924604</c:v>
                </c:pt>
                <c:pt idx="39">
                  <c:v>8260.8979948465003</c:v>
                </c:pt>
                <c:pt idx="40">
                  <c:v>986.54827105264496</c:v>
                </c:pt>
                <c:pt idx="41">
                  <c:v>4653.4179276913601</c:v>
                </c:pt>
                <c:pt idx="42">
                  <c:v>979.00117418052196</c:v>
                </c:pt>
                <c:pt idx="43">
                  <c:v>4792.3237153946802</c:v>
                </c:pt>
                <c:pt idx="44">
                  <c:v>6958.4667824941798</c:v>
                </c:pt>
                <c:pt idx="45">
                  <c:v>7746.8801023932001</c:v>
                </c:pt>
                <c:pt idx="46">
                  <c:v>705.33117380339502</c:v>
                </c:pt>
                <c:pt idx="47">
                  <c:v>9274.9357432111301</c:v>
                </c:pt>
                <c:pt idx="48">
                  <c:v>1500.0190818963299</c:v>
                </c:pt>
                <c:pt idx="49">
                  <c:v>5394.6407167615898</c:v>
                </c:pt>
                <c:pt idx="50">
                  <c:v>3921.6654813840801</c:v>
                </c:pt>
                <c:pt idx="51">
                  <c:v>2955.7283226937302</c:v>
                </c:pt>
                <c:pt idx="52">
                  <c:v>3798.5081718869301</c:v>
                </c:pt>
                <c:pt idx="53">
                  <c:v>7814.6960823891404</c:v>
                </c:pt>
                <c:pt idx="54">
                  <c:v>3050.6084226436501</c:v>
                </c:pt>
                <c:pt idx="55">
                  <c:v>1664.14817280784</c:v>
                </c:pt>
                <c:pt idx="56">
                  <c:v>11305.4104268479</c:v>
                </c:pt>
                <c:pt idx="57">
                  <c:v>5825.0309293077798</c:v>
                </c:pt>
                <c:pt idx="58">
                  <c:v>5761.3688438730396</c:v>
                </c:pt>
                <c:pt idx="59">
                  <c:v>4117.4737069599496</c:v>
                </c:pt>
                <c:pt idx="60">
                  <c:v>6076.5286423842399</c:v>
                </c:pt>
                <c:pt idx="61">
                  <c:v>30937.190185573199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3-5F4C-8256-E4BB5A92CC7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'Uji Coba'!$C$68:$C$129</c:f>
              <c:numCache>
                <c:formatCode>General</c:formatCode>
                <c:ptCount val="62"/>
                <c:pt idx="0">
                  <c:v>647</c:v>
                </c:pt>
                <c:pt idx="1">
                  <c:v>130</c:v>
                </c:pt>
                <c:pt idx="2">
                  <c:v>254</c:v>
                </c:pt>
                <c:pt idx="3">
                  <c:v>1056</c:v>
                </c:pt>
                <c:pt idx="4">
                  <c:v>383</c:v>
                </c:pt>
                <c:pt idx="5">
                  <c:v>345</c:v>
                </c:pt>
                <c:pt idx="6">
                  <c:v>209</c:v>
                </c:pt>
                <c:pt idx="7">
                  <c:v>366</c:v>
                </c:pt>
                <c:pt idx="8">
                  <c:v>1181</c:v>
                </c:pt>
                <c:pt idx="9">
                  <c:v>181</c:v>
                </c:pt>
                <c:pt idx="10">
                  <c:v>739</c:v>
                </c:pt>
                <c:pt idx="11">
                  <c:v>108</c:v>
                </c:pt>
                <c:pt idx="12">
                  <c:v>48</c:v>
                </c:pt>
                <c:pt idx="13">
                  <c:v>249</c:v>
                </c:pt>
                <c:pt idx="14">
                  <c:v>371</c:v>
                </c:pt>
                <c:pt idx="15">
                  <c:v>211</c:v>
                </c:pt>
                <c:pt idx="16">
                  <c:v>1849</c:v>
                </c:pt>
                <c:pt idx="17">
                  <c:v>2482</c:v>
                </c:pt>
                <c:pt idx="18">
                  <c:v>434</c:v>
                </c:pt>
                <c:pt idx="19">
                  <c:v>292</c:v>
                </c:pt>
                <c:pt idx="20">
                  <c:v>2954</c:v>
                </c:pt>
                <c:pt idx="21">
                  <c:v>304</c:v>
                </c:pt>
                <c:pt idx="22">
                  <c:v>353</c:v>
                </c:pt>
                <c:pt idx="23">
                  <c:v>567</c:v>
                </c:pt>
                <c:pt idx="24">
                  <c:v>467</c:v>
                </c:pt>
                <c:pt idx="25">
                  <c:v>3368</c:v>
                </c:pt>
                <c:pt idx="26">
                  <c:v>253</c:v>
                </c:pt>
                <c:pt idx="27">
                  <c:v>196</c:v>
                </c:pt>
                <c:pt idx="28">
                  <c:v>185</c:v>
                </c:pt>
                <c:pt idx="29">
                  <c:v>387</c:v>
                </c:pt>
                <c:pt idx="30">
                  <c:v>430</c:v>
                </c:pt>
                <c:pt idx="31">
                  <c:v>204</c:v>
                </c:pt>
                <c:pt idx="32">
                  <c:v>71</c:v>
                </c:pt>
                <c:pt idx="33">
                  <c:v>840</c:v>
                </c:pt>
                <c:pt idx="34">
                  <c:v>1648</c:v>
                </c:pt>
                <c:pt idx="35">
                  <c:v>1035</c:v>
                </c:pt>
                <c:pt idx="36">
                  <c:v>548</c:v>
                </c:pt>
                <c:pt idx="37">
                  <c:v>2054</c:v>
                </c:pt>
                <c:pt idx="38">
                  <c:v>302</c:v>
                </c:pt>
                <c:pt idx="39">
                  <c:v>1172</c:v>
                </c:pt>
                <c:pt idx="40">
                  <c:v>253</c:v>
                </c:pt>
                <c:pt idx="41">
                  <c:v>227</c:v>
                </c:pt>
                <c:pt idx="42">
                  <c:v>59</c:v>
                </c:pt>
                <c:pt idx="43">
                  <c:v>299</c:v>
                </c:pt>
                <c:pt idx="44">
                  <c:v>422</c:v>
                </c:pt>
                <c:pt idx="45">
                  <c:v>1058</c:v>
                </c:pt>
                <c:pt idx="46">
                  <c:v>65</c:v>
                </c:pt>
                <c:pt idx="47">
                  <c:v>390</c:v>
                </c:pt>
                <c:pt idx="48">
                  <c:v>193</c:v>
                </c:pt>
                <c:pt idx="49">
                  <c:v>1526</c:v>
                </c:pt>
                <c:pt idx="50">
                  <c:v>575</c:v>
                </c:pt>
                <c:pt idx="51">
                  <c:v>509</c:v>
                </c:pt>
                <c:pt idx="52">
                  <c:v>583</c:v>
                </c:pt>
                <c:pt idx="53">
                  <c:v>315</c:v>
                </c:pt>
                <c:pt idx="54">
                  <c:v>138</c:v>
                </c:pt>
                <c:pt idx="55">
                  <c:v>257</c:v>
                </c:pt>
                <c:pt idx="56">
                  <c:v>423</c:v>
                </c:pt>
                <c:pt idx="57">
                  <c:v>495</c:v>
                </c:pt>
                <c:pt idx="58">
                  <c:v>622</c:v>
                </c:pt>
                <c:pt idx="59">
                  <c:v>204</c:v>
                </c:pt>
                <c:pt idx="60">
                  <c:v>616</c:v>
                </c:pt>
                <c:pt idx="61">
                  <c:v>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3-5F4C-8256-E4BB5A92C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76736"/>
        <c:axId val="351478448"/>
      </c:lineChart>
      <c:catAx>
        <c:axId val="35147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78448"/>
        <c:crosses val="autoZero"/>
        <c:auto val="1"/>
        <c:lblAlgn val="ctr"/>
        <c:lblOffset val="100"/>
        <c:noMultiLvlLbl val="0"/>
      </c:catAx>
      <c:valAx>
        <c:axId val="3514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7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669636</xdr:colOff>
      <xdr:row>13</xdr:row>
      <xdr:rowOff>181264</xdr:rowOff>
    </xdr:from>
    <xdr:to>
      <xdr:col>5</xdr:col>
      <xdr:colOff>473363</xdr:colOff>
      <xdr:row>27</xdr:row>
      <xdr:rowOff>176645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4FDBC-BC2C-776E-9207-3173D981F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28863</xdr:colOff>
      <xdr:row>13</xdr:row>
      <xdr:rowOff>158172</xdr:rowOff>
    </xdr:from>
    <xdr:to>
      <xdr:col>11</xdr:col>
      <xdr:colOff>213590</xdr:colOff>
      <xdr:row>27</xdr:row>
      <xdr:rowOff>153553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FCFE55-5808-8592-0DD4-3F51177F7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17317</xdr:colOff>
      <xdr:row>14</xdr:row>
      <xdr:rowOff>8082</xdr:rowOff>
    </xdr:from>
    <xdr:to>
      <xdr:col>17</xdr:col>
      <xdr:colOff>606135</xdr:colOff>
      <xdr:row>28</xdr:row>
      <xdr:rowOff>3464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DE4925-C043-1D2E-9DA2-9C7E55D03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738909</xdr:colOff>
      <xdr:row>29</xdr:row>
      <xdr:rowOff>111991</xdr:rowOff>
    </xdr:from>
    <xdr:to>
      <xdr:col>5</xdr:col>
      <xdr:colOff>542636</xdr:colOff>
      <xdr:row>43</xdr:row>
      <xdr:rowOff>107373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975633-4953-E10B-097B-9A3B937BB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51954</xdr:colOff>
      <xdr:row>29</xdr:row>
      <xdr:rowOff>158172</xdr:rowOff>
    </xdr:from>
    <xdr:to>
      <xdr:col>11</xdr:col>
      <xdr:colOff>236681</xdr:colOff>
      <xdr:row>43</xdr:row>
      <xdr:rowOff>153554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3E8774-AC48-1B4F-28FA-1C2981CFC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23090</xdr:colOff>
      <xdr:row>29</xdr:row>
      <xdr:rowOff>192809</xdr:rowOff>
    </xdr:from>
    <xdr:to>
      <xdr:col>17</xdr:col>
      <xdr:colOff>611908</xdr:colOff>
      <xdr:row>43</xdr:row>
      <xdr:rowOff>188191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A3AB74-9573-C9F5-3179-2EED88275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42333</xdr:colOff>
      <xdr:row>46</xdr:row>
      <xdr:rowOff>169333</xdr:rowOff>
    </xdr:from>
    <xdr:to>
      <xdr:col>17</xdr:col>
      <xdr:colOff>635000</xdr:colOff>
      <xdr:row>61</xdr:row>
      <xdr:rowOff>118533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118D1D4-7F6D-4A3A-B248-0BE7CEBC6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15831</xdr:rowOff>
    </xdr:from>
    <xdr:to>
      <xdr:col>5</xdr:col>
      <xdr:colOff>570630</xdr:colOff>
      <xdr:row>27</xdr:row>
      <xdr:rowOff>79853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8B1AB-EEC0-7928-B595-79150D527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206158</xdr:colOff>
      <xdr:row>12</xdr:row>
      <xdr:rowOff>172408</xdr:rowOff>
    </xdr:from>
    <xdr:to>
      <xdr:col>11</xdr:col>
      <xdr:colOff>776788</xdr:colOff>
      <xdr:row>27</xdr:row>
      <xdr:rowOff>45060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B56A85-A2FB-13EB-6A37-7A27E5ED4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247650</xdr:colOff>
      <xdr:row>12</xdr:row>
      <xdr:rowOff>158750</xdr:rowOff>
    </xdr:from>
    <xdr:to>
      <xdr:col>17</xdr:col>
      <xdr:colOff>819150</xdr:colOff>
      <xdr:row>27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AF83F2-0E31-B8D5-0357-2A97C16C3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28</xdr:row>
      <xdr:rowOff>146050</xdr:rowOff>
    </xdr:from>
    <xdr:to>
      <xdr:col>5</xdr:col>
      <xdr:colOff>704850</xdr:colOff>
      <xdr:row>43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C986A-0FAA-0D41-44EA-D6A656570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355600</xdr:colOff>
      <xdr:row>28</xdr:row>
      <xdr:rowOff>146050</xdr:rowOff>
    </xdr:from>
    <xdr:to>
      <xdr:col>12</xdr:col>
      <xdr:colOff>127000</xdr:colOff>
      <xdr:row>43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841D38-2F2B-7372-BE6B-8AC0EC00E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622300</xdr:colOff>
      <xdr:row>28</xdr:row>
      <xdr:rowOff>133350</xdr:rowOff>
    </xdr:from>
    <xdr:to>
      <xdr:col>17</xdr:col>
      <xdr:colOff>1193800</xdr:colOff>
      <xdr:row>43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02BD47-5B3D-F4A1-8DDF-71A28E580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755650</xdr:colOff>
      <xdr:row>44</xdr:row>
      <xdr:rowOff>6350</xdr:rowOff>
    </xdr:from>
    <xdr:to>
      <xdr:col>17</xdr:col>
      <xdr:colOff>1327150</xdr:colOff>
      <xdr:row>58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B1FABC-5EEB-B1D1-861B-78D7484BD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12</xdr:row>
      <xdr:rowOff>198120</xdr:rowOff>
    </xdr:from>
    <xdr:to>
      <xdr:col>6</xdr:col>
      <xdr:colOff>421640</xdr:colOff>
      <xdr:row>26</xdr:row>
      <xdr:rowOff>96520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6F7442-2E50-3162-1A1C-6CC868550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792480</xdr:colOff>
      <xdr:row>13</xdr:row>
      <xdr:rowOff>5080</xdr:rowOff>
    </xdr:from>
    <xdr:to>
      <xdr:col>12</xdr:col>
      <xdr:colOff>426720</xdr:colOff>
      <xdr:row>26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078E56-A11D-3CB3-9F35-49F5C6DA2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66040</xdr:colOff>
      <xdr:row>13</xdr:row>
      <xdr:rowOff>5080</xdr:rowOff>
    </xdr:from>
    <xdr:to>
      <xdr:col>18</xdr:col>
      <xdr:colOff>523240</xdr:colOff>
      <xdr:row>26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2A08AD-9263-9F01-CC51-70D95AF58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28</xdr:row>
      <xdr:rowOff>66040</xdr:rowOff>
    </xdr:from>
    <xdr:to>
      <xdr:col>6</xdr:col>
      <xdr:colOff>472440</xdr:colOff>
      <xdr:row>41</xdr:row>
      <xdr:rowOff>167640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78EB4D-3E09-ABE5-659B-9AB901D78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107950</xdr:colOff>
      <xdr:row>28</xdr:row>
      <xdr:rowOff>19050</xdr:rowOff>
    </xdr:from>
    <xdr:to>
      <xdr:col>12</xdr:col>
      <xdr:colOff>552450</xdr:colOff>
      <xdr:row>41</xdr:row>
      <xdr:rowOff>120650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B95AEAA-3E19-BE44-FD68-B2DD990EA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31750</xdr:colOff>
      <xdr:row>28</xdr:row>
      <xdr:rowOff>19050</xdr:rowOff>
    </xdr:from>
    <xdr:to>
      <xdr:col>18</xdr:col>
      <xdr:colOff>476250</xdr:colOff>
      <xdr:row>41</xdr:row>
      <xdr:rowOff>120650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C7F5C76-D947-BE0E-0523-A7DDD77B7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57150</xdr:colOff>
      <xdr:row>43</xdr:row>
      <xdr:rowOff>6350</xdr:rowOff>
    </xdr:from>
    <xdr:to>
      <xdr:col>18</xdr:col>
      <xdr:colOff>501650</xdr:colOff>
      <xdr:row>56</xdr:row>
      <xdr:rowOff>107950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37B84B-6853-1523-7055-C6A07A9BC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810118</xdr:colOff>
      <xdr:row>12</xdr:row>
      <xdr:rowOff>16723</xdr:rowOff>
    </xdr:from>
    <xdr:to>
      <xdr:col>5</xdr:col>
      <xdr:colOff>814851</xdr:colOff>
      <xdr:row>25</xdr:row>
      <xdr:rowOff>93712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6EDB7-D9B9-0644-FEC9-B58D2DCDA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6350</xdr:rowOff>
    </xdr:from>
    <xdr:to>
      <xdr:col>12</xdr:col>
      <xdr:colOff>444500</xdr:colOff>
      <xdr:row>25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62D64D-BAAE-6055-97EF-D6AA30155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63500</xdr:colOff>
      <xdr:row>11</xdr:row>
      <xdr:rowOff>196850</xdr:rowOff>
    </xdr:from>
    <xdr:to>
      <xdr:col>18</xdr:col>
      <xdr:colOff>508000</xdr:colOff>
      <xdr:row>25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3E2BC8-C9CA-774D-CD34-4E81BF017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800100</xdr:colOff>
      <xdr:row>27</xdr:row>
      <xdr:rowOff>57150</xdr:rowOff>
    </xdr:from>
    <xdr:to>
      <xdr:col>5</xdr:col>
      <xdr:colOff>812800</xdr:colOff>
      <xdr:row>40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D24226-F649-87B4-A816-C60D7926E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812800</xdr:colOff>
      <xdr:row>27</xdr:row>
      <xdr:rowOff>6350</xdr:rowOff>
    </xdr:from>
    <xdr:to>
      <xdr:col>12</xdr:col>
      <xdr:colOff>431800</xdr:colOff>
      <xdr:row>40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6ABED8-BC50-E13A-F5F2-1C6596BBB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25400</xdr:colOff>
      <xdr:row>26</xdr:row>
      <xdr:rowOff>196850</xdr:rowOff>
    </xdr:from>
    <xdr:to>
      <xdr:col>18</xdr:col>
      <xdr:colOff>469900</xdr:colOff>
      <xdr:row>40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58AA06-08D8-CF35-21D9-562A42EFC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781050</xdr:colOff>
      <xdr:row>42</xdr:row>
      <xdr:rowOff>31750</xdr:rowOff>
    </xdr:from>
    <xdr:to>
      <xdr:col>18</xdr:col>
      <xdr:colOff>400050</xdr:colOff>
      <xdr:row>55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F2B71F-A803-26ED-69F2-C41E68C15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326308</xdr:colOff>
      <xdr:row>40</xdr:row>
      <xdr:rowOff>170221</xdr:rowOff>
    </xdr:from>
    <xdr:to>
      <xdr:col>11</xdr:col>
      <xdr:colOff>307258</xdr:colOff>
      <xdr:row>55</xdr:row>
      <xdr:rowOff>62066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7855B-B533-5325-17C0-4132983AF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1668004</xdr:colOff>
      <xdr:row>134</xdr:row>
      <xdr:rowOff>143581</xdr:rowOff>
    </xdr:from>
    <xdr:to>
      <xdr:col>17</xdr:col>
      <xdr:colOff>291709</xdr:colOff>
      <xdr:row>149</xdr:row>
      <xdr:rowOff>29281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DF99A9-D9AA-A60F-777B-69DBB870E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72571</xdr:colOff>
      <xdr:row>166</xdr:row>
      <xdr:rowOff>7257</xdr:rowOff>
    </xdr:from>
    <xdr:to>
      <xdr:col>10</xdr:col>
      <xdr:colOff>653142</xdr:colOff>
      <xdr:row>180</xdr:row>
      <xdr:rowOff>41123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A454B5-4F80-EDFF-A385-A19BA6AD2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433632</xdr:colOff>
      <xdr:row>151</xdr:row>
      <xdr:rowOff>679</xdr:rowOff>
    </xdr:from>
    <xdr:to>
      <xdr:col>14</xdr:col>
      <xdr:colOff>2337187</xdr:colOff>
      <xdr:row>165</xdr:row>
      <xdr:rowOff>76879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14BE6-D578-0592-993D-4BE799FF0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393700</xdr:colOff>
      <xdr:row>91</xdr:row>
      <xdr:rowOff>19050</xdr:rowOff>
    </xdr:from>
    <xdr:to>
      <xdr:col>28</xdr:col>
      <xdr:colOff>63500</xdr:colOff>
      <xdr:row>105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AB66B2-93BB-82E0-6004-EACD0B408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324231</xdr:colOff>
      <xdr:row>132</xdr:row>
      <xdr:rowOff>87817</xdr:rowOff>
    </xdr:from>
    <xdr:to>
      <xdr:col>11</xdr:col>
      <xdr:colOff>754455</xdr:colOff>
      <xdr:row>149</xdr:row>
      <xdr:rowOff>104601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651E85-86B3-991F-142B-26D400CEC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665005</xdr:colOff>
      <xdr:row>66</xdr:row>
      <xdr:rowOff>79270</xdr:rowOff>
    </xdr:from>
    <xdr:to>
      <xdr:col>32</xdr:col>
      <xdr:colOff>407097</xdr:colOff>
      <xdr:row>80</xdr:row>
      <xdr:rowOff>87086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6BDA9B-621A-05C9-0C46-58D37B2BF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50</xdr:row>
      <xdr:rowOff>95250</xdr:rowOff>
    </xdr:from>
    <xdr:to>
      <xdr:col>9</xdr:col>
      <xdr:colOff>431800</xdr:colOff>
      <xdr:row>63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DC572-8EB4-C911-A390-9652E149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65</xdr:row>
      <xdr:rowOff>196850</xdr:rowOff>
    </xdr:from>
    <xdr:to>
      <xdr:col>9</xdr:col>
      <xdr:colOff>457200</xdr:colOff>
      <xdr:row>79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5ACDD-CEDB-1665-534A-02C27F4DB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A8" workbookViewId="0">
      <selection activeCell="Z63" sqref="Z2:Z63"/>
    </sheetView>
  </sheetViews>
  <sheetFormatPr baseColWidth="10" defaultColWidth="11.1640625" defaultRowHeight="15" customHeight="1"/>
  <cols>
    <col min="1" max="30" width="10.83203125" customWidth="1"/>
    <col min="31" max="31" width="21.5" customWidth="1"/>
    <col min="32" max="32" width="38.1640625" customWidth="1"/>
  </cols>
  <sheetData>
    <row r="1" spans="1:3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2" t="s">
        <v>26</v>
      </c>
      <c r="AB1" s="2" t="s">
        <v>27</v>
      </c>
      <c r="AC1" s="5"/>
      <c r="AD1" s="69" t="s">
        <v>28</v>
      </c>
      <c r="AE1" s="6" t="s">
        <v>29</v>
      </c>
      <c r="AF1" s="6" t="s">
        <v>30</v>
      </c>
    </row>
    <row r="2" spans="1:32" ht="15.75" customHeight="1">
      <c r="A2" s="7">
        <v>1</v>
      </c>
      <c r="B2" s="4">
        <v>92</v>
      </c>
      <c r="C2" s="8">
        <v>2</v>
      </c>
      <c r="D2" s="8">
        <v>2</v>
      </c>
      <c r="E2" s="8">
        <v>1</v>
      </c>
      <c r="F2" s="8">
        <v>2</v>
      </c>
      <c r="G2" s="8">
        <v>2</v>
      </c>
      <c r="H2" s="8">
        <v>0</v>
      </c>
      <c r="I2" s="8">
        <v>3</v>
      </c>
      <c r="J2" s="3">
        <v>4</v>
      </c>
      <c r="K2" s="3">
        <v>3</v>
      </c>
      <c r="L2" s="3">
        <v>5</v>
      </c>
      <c r="M2" s="3">
        <v>3</v>
      </c>
      <c r="N2" s="3">
        <v>3</v>
      </c>
      <c r="O2" s="3">
        <v>3</v>
      </c>
      <c r="P2" s="3">
        <v>4</v>
      </c>
      <c r="Q2" s="3">
        <v>5</v>
      </c>
      <c r="R2" s="3">
        <v>4</v>
      </c>
      <c r="S2" s="3">
        <v>5</v>
      </c>
      <c r="T2" s="3">
        <v>4</v>
      </c>
      <c r="U2" s="3">
        <v>4</v>
      </c>
      <c r="V2" s="3">
        <v>4</v>
      </c>
      <c r="W2" s="3">
        <v>4</v>
      </c>
      <c r="X2" s="3">
        <v>5</v>
      </c>
      <c r="Y2" s="3">
        <v>16</v>
      </c>
      <c r="Z2" s="4">
        <v>647</v>
      </c>
      <c r="AA2" s="9">
        <v>8</v>
      </c>
      <c r="AB2" s="9">
        <v>7871</v>
      </c>
      <c r="AC2" s="5">
        <f>Z2*AA2</f>
        <v>5176</v>
      </c>
      <c r="AD2" s="70"/>
      <c r="AE2" s="10" t="s">
        <v>31</v>
      </c>
      <c r="AF2" s="10" t="s">
        <v>32</v>
      </c>
    </row>
    <row r="3" spans="1:32" ht="15.75" customHeight="1">
      <c r="A3" s="7">
        <v>2</v>
      </c>
      <c r="B3" s="4">
        <v>93</v>
      </c>
      <c r="C3" s="8">
        <v>2</v>
      </c>
      <c r="D3" s="8">
        <v>2</v>
      </c>
      <c r="E3" s="8">
        <v>1</v>
      </c>
      <c r="F3" s="8">
        <v>2</v>
      </c>
      <c r="G3" s="8">
        <v>2</v>
      </c>
      <c r="H3" s="8">
        <v>0</v>
      </c>
      <c r="I3" s="8">
        <v>3</v>
      </c>
      <c r="J3" s="3">
        <v>2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2</v>
      </c>
      <c r="Q3" s="3">
        <v>2</v>
      </c>
      <c r="R3" s="3">
        <v>4</v>
      </c>
      <c r="S3" s="3">
        <v>3</v>
      </c>
      <c r="T3" s="3">
        <v>4</v>
      </c>
      <c r="U3" s="3">
        <v>4</v>
      </c>
      <c r="V3" s="3">
        <v>4</v>
      </c>
      <c r="W3" s="3">
        <v>4</v>
      </c>
      <c r="X3" s="3">
        <v>4</v>
      </c>
      <c r="Y3" s="3">
        <v>5</v>
      </c>
      <c r="Z3" s="4">
        <v>130</v>
      </c>
      <c r="AA3" s="9">
        <v>9</v>
      </c>
      <c r="AB3" s="9">
        <v>845</v>
      </c>
      <c r="AC3" s="5">
        <f t="shared" ref="AC3:AC63" si="0">Z3*AA3</f>
        <v>1170</v>
      </c>
      <c r="AD3" s="70"/>
      <c r="AE3" s="11" t="s">
        <v>33</v>
      </c>
      <c r="AF3" s="11" t="s">
        <v>34</v>
      </c>
    </row>
    <row r="4" spans="1:32" ht="15.75" customHeight="1">
      <c r="A4" s="7">
        <v>3</v>
      </c>
      <c r="B4" s="4">
        <v>90</v>
      </c>
      <c r="C4" s="8">
        <v>1</v>
      </c>
      <c r="D4" s="8">
        <v>2</v>
      </c>
      <c r="E4" s="8">
        <v>1</v>
      </c>
      <c r="F4" s="8">
        <v>2</v>
      </c>
      <c r="G4" s="8">
        <v>2</v>
      </c>
      <c r="H4" s="8">
        <v>0</v>
      </c>
      <c r="I4" s="8">
        <v>2</v>
      </c>
      <c r="J4" s="3">
        <v>3</v>
      </c>
      <c r="K4" s="3">
        <v>3</v>
      </c>
      <c r="L4" s="3">
        <v>2</v>
      </c>
      <c r="M4" s="3">
        <v>3</v>
      </c>
      <c r="N4" s="3">
        <v>3</v>
      </c>
      <c r="O4" s="3">
        <v>4</v>
      </c>
      <c r="P4" s="3">
        <v>2</v>
      </c>
      <c r="Q4" s="3">
        <v>3</v>
      </c>
      <c r="R4" s="3">
        <v>4</v>
      </c>
      <c r="S4" s="3">
        <v>5</v>
      </c>
      <c r="T4" s="3">
        <v>4</v>
      </c>
      <c r="U4" s="3">
        <v>3</v>
      </c>
      <c r="V4" s="3">
        <v>2</v>
      </c>
      <c r="W4" s="3">
        <v>3</v>
      </c>
      <c r="X4" s="3">
        <v>3</v>
      </c>
      <c r="Y4" s="3">
        <v>8</v>
      </c>
      <c r="Z4" s="4">
        <v>254</v>
      </c>
      <c r="AA4" s="9">
        <v>6</v>
      </c>
      <c r="AB4" s="9">
        <v>2330</v>
      </c>
      <c r="AC4" s="5">
        <f t="shared" si="0"/>
        <v>1524</v>
      </c>
      <c r="AD4" s="70"/>
      <c r="AE4" s="12" t="s">
        <v>35</v>
      </c>
      <c r="AF4" s="12" t="s">
        <v>36</v>
      </c>
    </row>
    <row r="5" spans="1:32" ht="15.75" customHeight="1">
      <c r="A5" s="7">
        <v>4</v>
      </c>
      <c r="B5" s="4">
        <v>86</v>
      </c>
      <c r="C5" s="8">
        <v>3</v>
      </c>
      <c r="D5" s="8">
        <v>2</v>
      </c>
      <c r="E5" s="8">
        <v>1</v>
      </c>
      <c r="F5" s="8">
        <v>2</v>
      </c>
      <c r="G5" s="8">
        <v>2</v>
      </c>
      <c r="H5" s="8">
        <v>0</v>
      </c>
      <c r="I5" s="8">
        <v>3</v>
      </c>
      <c r="J5" s="3">
        <v>2</v>
      </c>
      <c r="K5" s="3">
        <v>2</v>
      </c>
      <c r="L5" s="3">
        <v>4</v>
      </c>
      <c r="M5" s="3">
        <v>2</v>
      </c>
      <c r="N5" s="3">
        <v>2</v>
      </c>
      <c r="O5" s="3">
        <v>1</v>
      </c>
      <c r="P5" s="3">
        <v>3</v>
      </c>
      <c r="Q5" s="3">
        <v>5</v>
      </c>
      <c r="R5" s="3">
        <v>4</v>
      </c>
      <c r="S5" s="3">
        <v>4</v>
      </c>
      <c r="T5" s="3">
        <v>5</v>
      </c>
      <c r="U5" s="3">
        <v>4</v>
      </c>
      <c r="V5" s="3">
        <v>3</v>
      </c>
      <c r="W5" s="3">
        <v>2</v>
      </c>
      <c r="X5" s="3">
        <v>3</v>
      </c>
      <c r="Y5" s="3">
        <v>16</v>
      </c>
      <c r="Z5" s="4">
        <v>1056</v>
      </c>
      <c r="AA5" s="9">
        <v>2</v>
      </c>
      <c r="AB5" s="9">
        <v>21272</v>
      </c>
      <c r="AC5" s="5">
        <f t="shared" si="0"/>
        <v>2112</v>
      </c>
      <c r="AD5" s="70"/>
      <c r="AE5" s="12" t="s">
        <v>37</v>
      </c>
      <c r="AF5" s="12" t="s">
        <v>38</v>
      </c>
    </row>
    <row r="6" spans="1:32" ht="15.75" customHeight="1">
      <c r="A6" s="7">
        <v>5</v>
      </c>
      <c r="B6" s="4">
        <v>88</v>
      </c>
      <c r="C6" s="8">
        <v>2</v>
      </c>
      <c r="D6" s="8">
        <v>2</v>
      </c>
      <c r="E6" s="8">
        <v>1</v>
      </c>
      <c r="F6" s="8">
        <v>2</v>
      </c>
      <c r="G6" s="8">
        <v>2</v>
      </c>
      <c r="H6" s="8">
        <v>0</v>
      </c>
      <c r="I6" s="8">
        <v>2</v>
      </c>
      <c r="J6" s="3">
        <v>3</v>
      </c>
      <c r="K6" s="3">
        <v>3</v>
      </c>
      <c r="L6" s="3">
        <v>3</v>
      </c>
      <c r="M6" s="3">
        <v>4</v>
      </c>
      <c r="N6" s="3">
        <v>3</v>
      </c>
      <c r="O6" s="3">
        <v>3</v>
      </c>
      <c r="P6" s="3">
        <v>4</v>
      </c>
      <c r="Q6" s="3">
        <v>3</v>
      </c>
      <c r="R6" s="3">
        <v>4</v>
      </c>
      <c r="S6" s="3">
        <v>4</v>
      </c>
      <c r="T6" s="3">
        <v>3</v>
      </c>
      <c r="U6" s="3">
        <v>4</v>
      </c>
      <c r="V6" s="3">
        <v>5</v>
      </c>
      <c r="W6" s="3">
        <v>4</v>
      </c>
      <c r="X6" s="3">
        <v>4</v>
      </c>
      <c r="Y6" s="3">
        <v>12</v>
      </c>
      <c r="Z6" s="4">
        <v>383</v>
      </c>
      <c r="AA6" s="9">
        <v>4</v>
      </c>
      <c r="AB6" s="9">
        <v>4224</v>
      </c>
      <c r="AC6" s="5">
        <f t="shared" si="0"/>
        <v>1532</v>
      </c>
      <c r="AD6" s="71"/>
      <c r="AE6" s="11" t="s">
        <v>39</v>
      </c>
      <c r="AF6" s="11" t="s">
        <v>40</v>
      </c>
    </row>
    <row r="7" spans="1:32" ht="15.75" customHeight="1">
      <c r="A7" s="7">
        <v>6</v>
      </c>
      <c r="B7" s="4">
        <v>92</v>
      </c>
      <c r="C7" s="8">
        <v>2</v>
      </c>
      <c r="D7" s="8">
        <v>3</v>
      </c>
      <c r="E7" s="8">
        <v>1</v>
      </c>
      <c r="F7" s="8">
        <v>2</v>
      </c>
      <c r="G7" s="8">
        <v>2</v>
      </c>
      <c r="H7" s="8">
        <v>1</v>
      </c>
      <c r="I7" s="8">
        <v>4</v>
      </c>
      <c r="J7" s="3">
        <v>2</v>
      </c>
      <c r="K7" s="3">
        <v>3</v>
      </c>
      <c r="L7" s="3">
        <v>3</v>
      </c>
      <c r="M7" s="3">
        <v>3</v>
      </c>
      <c r="N7" s="3">
        <v>3</v>
      </c>
      <c r="O7" s="3">
        <v>3</v>
      </c>
      <c r="P7" s="3">
        <v>2</v>
      </c>
      <c r="Q7" s="3">
        <v>2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>
        <v>5</v>
      </c>
      <c r="X7" s="3">
        <v>4</v>
      </c>
      <c r="Y7" s="3">
        <v>12</v>
      </c>
      <c r="Z7" s="4">
        <v>345</v>
      </c>
      <c r="AA7" s="9">
        <v>8</v>
      </c>
      <c r="AB7" s="9">
        <v>2826</v>
      </c>
      <c r="AC7" s="5">
        <f t="shared" si="0"/>
        <v>2760</v>
      </c>
      <c r="AD7" s="5"/>
      <c r="AE7" s="5"/>
      <c r="AF7" s="5"/>
    </row>
    <row r="8" spans="1:32" ht="15.75" customHeight="1">
      <c r="A8" s="7">
        <v>7</v>
      </c>
      <c r="B8" s="4">
        <v>87</v>
      </c>
      <c r="C8" s="8">
        <v>2</v>
      </c>
      <c r="D8" s="8">
        <v>2</v>
      </c>
      <c r="E8" s="8">
        <v>1</v>
      </c>
      <c r="F8" s="8">
        <v>2</v>
      </c>
      <c r="G8" s="8">
        <v>2</v>
      </c>
      <c r="H8" s="8">
        <v>0</v>
      </c>
      <c r="I8" s="8">
        <v>2</v>
      </c>
      <c r="J8" s="3">
        <v>4</v>
      </c>
      <c r="K8" s="3">
        <v>3</v>
      </c>
      <c r="L8" s="3">
        <v>5</v>
      </c>
      <c r="M8" s="3">
        <v>4</v>
      </c>
      <c r="N8" s="3">
        <v>3</v>
      </c>
      <c r="O8" s="3">
        <v>2</v>
      </c>
      <c r="P8" s="3">
        <v>3</v>
      </c>
      <c r="Q8" s="3">
        <v>5</v>
      </c>
      <c r="R8" s="3">
        <v>5</v>
      </c>
      <c r="S8" s="3">
        <v>5</v>
      </c>
      <c r="T8" s="3">
        <v>3</v>
      </c>
      <c r="U8" s="3">
        <v>4</v>
      </c>
      <c r="V8" s="3">
        <v>4</v>
      </c>
      <c r="W8" s="3">
        <v>2</v>
      </c>
      <c r="X8" s="3">
        <v>3</v>
      </c>
      <c r="Y8" s="3">
        <v>27</v>
      </c>
      <c r="Z8" s="4">
        <v>209</v>
      </c>
      <c r="AA8" s="9">
        <v>3</v>
      </c>
      <c r="AB8" s="9">
        <v>7320</v>
      </c>
      <c r="AC8" s="5">
        <f t="shared" si="0"/>
        <v>627</v>
      </c>
      <c r="AD8" s="5"/>
      <c r="AE8" s="5"/>
      <c r="AF8" s="5"/>
    </row>
    <row r="9" spans="1:32" ht="15.75" customHeight="1">
      <c r="A9" s="7">
        <v>8</v>
      </c>
      <c r="B9" s="4">
        <v>86</v>
      </c>
      <c r="C9" s="8">
        <v>2</v>
      </c>
      <c r="D9" s="8">
        <v>2</v>
      </c>
      <c r="E9" s="8">
        <v>1</v>
      </c>
      <c r="F9" s="8">
        <v>2</v>
      </c>
      <c r="G9" s="8">
        <v>2</v>
      </c>
      <c r="H9" s="8">
        <v>0</v>
      </c>
      <c r="I9" s="8">
        <v>1</v>
      </c>
      <c r="J9" s="3">
        <v>2</v>
      </c>
      <c r="K9" s="3">
        <v>3</v>
      </c>
      <c r="L9" s="3">
        <v>3</v>
      </c>
      <c r="M9" s="3">
        <v>2</v>
      </c>
      <c r="N9" s="3">
        <v>2</v>
      </c>
      <c r="O9" s="3">
        <v>2</v>
      </c>
      <c r="P9" s="3">
        <v>4</v>
      </c>
      <c r="Q9" s="3">
        <v>5</v>
      </c>
      <c r="R9" s="3">
        <v>4</v>
      </c>
      <c r="S9" s="3">
        <v>3</v>
      </c>
      <c r="T9" s="3">
        <v>3</v>
      </c>
      <c r="U9" s="3">
        <v>3</v>
      </c>
      <c r="V9" s="3">
        <v>3</v>
      </c>
      <c r="W9" s="3">
        <v>2</v>
      </c>
      <c r="X9" s="3">
        <v>3</v>
      </c>
      <c r="Y9" s="3">
        <v>24</v>
      </c>
      <c r="Z9" s="4">
        <v>366</v>
      </c>
      <c r="AA9" s="9">
        <v>2</v>
      </c>
      <c r="AB9" s="9">
        <v>9125</v>
      </c>
      <c r="AC9" s="5">
        <f t="shared" si="0"/>
        <v>732</v>
      </c>
      <c r="AD9" s="5"/>
      <c r="AE9" s="5"/>
      <c r="AF9" s="5"/>
    </row>
    <row r="10" spans="1:32" ht="15.75" customHeight="1">
      <c r="A10" s="7">
        <v>9</v>
      </c>
      <c r="B10" s="4">
        <v>87</v>
      </c>
      <c r="C10" s="8">
        <v>2</v>
      </c>
      <c r="D10" s="8">
        <v>4</v>
      </c>
      <c r="E10" s="8">
        <v>2</v>
      </c>
      <c r="F10" s="8">
        <v>2</v>
      </c>
      <c r="G10" s="8">
        <v>1</v>
      </c>
      <c r="H10" s="8">
        <v>0</v>
      </c>
      <c r="I10" s="8">
        <v>2</v>
      </c>
      <c r="J10" s="3">
        <v>4</v>
      </c>
      <c r="K10" s="3">
        <v>3</v>
      </c>
      <c r="L10" s="3">
        <v>3</v>
      </c>
      <c r="M10" s="3">
        <v>2</v>
      </c>
      <c r="N10" s="3">
        <v>1</v>
      </c>
      <c r="O10" s="3">
        <v>2</v>
      </c>
      <c r="P10" s="3">
        <v>4</v>
      </c>
      <c r="Q10" s="3">
        <v>5</v>
      </c>
      <c r="R10" s="3">
        <v>3</v>
      </c>
      <c r="S10" s="3">
        <v>2</v>
      </c>
      <c r="T10" s="3">
        <v>2</v>
      </c>
      <c r="U10" s="3">
        <v>2</v>
      </c>
      <c r="V10" s="3">
        <v>3</v>
      </c>
      <c r="W10" s="3">
        <v>4</v>
      </c>
      <c r="X10" s="3">
        <v>2</v>
      </c>
      <c r="Y10" s="3">
        <v>54</v>
      </c>
      <c r="Z10" s="4">
        <v>1181</v>
      </c>
      <c r="AA10" s="9">
        <v>3</v>
      </c>
      <c r="AB10" s="9">
        <v>11900</v>
      </c>
      <c r="AC10" s="5">
        <f t="shared" si="0"/>
        <v>3543</v>
      </c>
      <c r="AD10" s="5"/>
      <c r="AE10" s="5"/>
      <c r="AF10" s="5"/>
    </row>
    <row r="11" spans="1:32" ht="15.75" customHeight="1">
      <c r="A11" s="7">
        <v>10</v>
      </c>
      <c r="B11" s="4">
        <v>87</v>
      </c>
      <c r="C11" s="8">
        <v>1</v>
      </c>
      <c r="D11" s="8">
        <v>2</v>
      </c>
      <c r="E11" s="8">
        <v>1</v>
      </c>
      <c r="F11" s="8">
        <v>2</v>
      </c>
      <c r="G11" s="8">
        <v>2</v>
      </c>
      <c r="H11" s="8">
        <v>0</v>
      </c>
      <c r="I11" s="8">
        <v>2</v>
      </c>
      <c r="J11" s="3">
        <v>2</v>
      </c>
      <c r="K11" s="3">
        <v>3</v>
      </c>
      <c r="L11" s="3">
        <v>2</v>
      </c>
      <c r="M11" s="3">
        <v>3</v>
      </c>
      <c r="N11" s="3">
        <v>3</v>
      </c>
      <c r="O11" s="3">
        <v>3</v>
      </c>
      <c r="P11" s="3">
        <v>2</v>
      </c>
      <c r="Q11" s="3">
        <v>5</v>
      </c>
      <c r="R11" s="3">
        <v>3</v>
      </c>
      <c r="S11" s="3">
        <v>4</v>
      </c>
      <c r="T11" s="3">
        <v>2</v>
      </c>
      <c r="U11" s="3">
        <v>3</v>
      </c>
      <c r="V11" s="3">
        <v>2</v>
      </c>
      <c r="W11" s="3">
        <v>3</v>
      </c>
      <c r="X11" s="3">
        <v>3</v>
      </c>
      <c r="Y11" s="3">
        <v>13</v>
      </c>
      <c r="Z11" s="4">
        <v>181</v>
      </c>
      <c r="AA11" s="9">
        <v>3</v>
      </c>
      <c r="AB11" s="9">
        <v>4300</v>
      </c>
      <c r="AC11" s="5">
        <f t="shared" si="0"/>
        <v>543</v>
      </c>
      <c r="AD11" s="5"/>
      <c r="AE11" s="5"/>
      <c r="AF11" s="5"/>
    </row>
    <row r="12" spans="1:32" ht="15.75" customHeight="1">
      <c r="A12" s="7">
        <v>11</v>
      </c>
      <c r="B12" s="4">
        <v>90</v>
      </c>
      <c r="C12" s="8">
        <v>2</v>
      </c>
      <c r="D12" s="8">
        <v>5</v>
      </c>
      <c r="E12" s="8">
        <v>1</v>
      </c>
      <c r="F12" s="8">
        <v>2</v>
      </c>
      <c r="G12" s="8">
        <v>1</v>
      </c>
      <c r="H12" s="8">
        <v>0</v>
      </c>
      <c r="I12" s="8">
        <v>1</v>
      </c>
      <c r="J12" s="3">
        <v>5</v>
      </c>
      <c r="K12" s="3">
        <v>3</v>
      </c>
      <c r="L12" s="3">
        <v>4</v>
      </c>
      <c r="M12" s="3">
        <v>2</v>
      </c>
      <c r="N12" s="3">
        <v>3</v>
      </c>
      <c r="O12" s="3">
        <v>1</v>
      </c>
      <c r="P12" s="3">
        <v>3</v>
      </c>
      <c r="Q12" s="3">
        <v>3</v>
      </c>
      <c r="R12" s="3">
        <v>3</v>
      </c>
      <c r="S12" s="3">
        <v>2</v>
      </c>
      <c r="T12" s="3">
        <v>2</v>
      </c>
      <c r="U12" s="3">
        <v>2</v>
      </c>
      <c r="V12" s="3">
        <v>1</v>
      </c>
      <c r="W12" s="3">
        <v>1</v>
      </c>
      <c r="X12" s="3">
        <v>2</v>
      </c>
      <c r="Y12" s="3">
        <v>21</v>
      </c>
      <c r="Z12" s="4">
        <v>739</v>
      </c>
      <c r="AA12" s="9">
        <v>6</v>
      </c>
      <c r="AB12" s="9">
        <v>4150</v>
      </c>
      <c r="AC12" s="5">
        <f t="shared" si="0"/>
        <v>4434</v>
      </c>
      <c r="AD12" s="5"/>
      <c r="AE12" s="5"/>
      <c r="AF12" s="5"/>
    </row>
    <row r="13" spans="1:32" ht="15.75" customHeight="1">
      <c r="A13" s="7">
        <v>12</v>
      </c>
      <c r="B13" s="4">
        <v>91</v>
      </c>
      <c r="C13" s="8">
        <v>3</v>
      </c>
      <c r="D13" s="8">
        <v>1</v>
      </c>
      <c r="E13" s="8">
        <v>0</v>
      </c>
      <c r="F13" s="8">
        <v>2</v>
      </c>
      <c r="G13" s="8">
        <v>2</v>
      </c>
      <c r="H13" s="8">
        <v>0</v>
      </c>
      <c r="I13" s="8">
        <v>2</v>
      </c>
      <c r="J13" s="3">
        <v>2</v>
      </c>
      <c r="K13" s="3">
        <v>2</v>
      </c>
      <c r="L13" s="3">
        <v>2</v>
      </c>
      <c r="M13" s="3">
        <v>4</v>
      </c>
      <c r="N13" s="3">
        <v>3</v>
      </c>
      <c r="O13" s="3">
        <v>3</v>
      </c>
      <c r="P13" s="3">
        <v>1</v>
      </c>
      <c r="Q13" s="3">
        <v>4</v>
      </c>
      <c r="R13" s="3">
        <v>4</v>
      </c>
      <c r="S13" s="3">
        <v>3</v>
      </c>
      <c r="T13" s="3">
        <v>4</v>
      </c>
      <c r="U13" s="3">
        <v>4</v>
      </c>
      <c r="V13" s="3">
        <v>1</v>
      </c>
      <c r="W13" s="3">
        <v>5</v>
      </c>
      <c r="X13" s="3">
        <v>1</v>
      </c>
      <c r="Y13" s="3">
        <v>7</v>
      </c>
      <c r="Z13" s="4">
        <v>108</v>
      </c>
      <c r="AA13" s="9">
        <v>7</v>
      </c>
      <c r="AB13" s="9">
        <v>900</v>
      </c>
      <c r="AC13" s="5">
        <f t="shared" si="0"/>
        <v>756</v>
      </c>
      <c r="AD13" s="5"/>
      <c r="AE13" s="5"/>
      <c r="AF13" s="5"/>
    </row>
    <row r="14" spans="1:32" ht="15.75" customHeight="1">
      <c r="A14" s="7">
        <v>13</v>
      </c>
      <c r="B14" s="4">
        <v>90</v>
      </c>
      <c r="C14" s="8">
        <v>3</v>
      </c>
      <c r="D14" s="8">
        <v>5</v>
      </c>
      <c r="E14" s="8">
        <v>0</v>
      </c>
      <c r="F14" s="8">
        <v>2</v>
      </c>
      <c r="G14" s="8">
        <v>2</v>
      </c>
      <c r="H14" s="8">
        <v>0</v>
      </c>
      <c r="I14" s="8">
        <v>3</v>
      </c>
      <c r="J14" s="3">
        <v>2</v>
      </c>
      <c r="K14" s="3">
        <v>3</v>
      </c>
      <c r="L14" s="3">
        <v>3</v>
      </c>
      <c r="M14" s="3">
        <v>4</v>
      </c>
      <c r="N14" s="3">
        <v>2</v>
      </c>
      <c r="O14" s="3">
        <v>2</v>
      </c>
      <c r="P14" s="3">
        <v>2</v>
      </c>
      <c r="Q14" s="3">
        <v>4</v>
      </c>
      <c r="R14" s="3">
        <v>4</v>
      </c>
      <c r="S14" s="3">
        <v>3</v>
      </c>
      <c r="T14" s="3">
        <v>5</v>
      </c>
      <c r="U14" s="3">
        <v>3</v>
      </c>
      <c r="V14" s="3">
        <v>3</v>
      </c>
      <c r="W14" s="3">
        <v>4</v>
      </c>
      <c r="X14" s="3">
        <v>2</v>
      </c>
      <c r="Y14" s="3">
        <v>10</v>
      </c>
      <c r="Z14" s="4">
        <v>48</v>
      </c>
      <c r="AA14" s="9">
        <v>6</v>
      </c>
      <c r="AB14" s="9">
        <v>583</v>
      </c>
      <c r="AC14" s="5">
        <f t="shared" si="0"/>
        <v>288</v>
      </c>
      <c r="AD14" s="5"/>
      <c r="AE14" s="5"/>
      <c r="AF14" s="5"/>
    </row>
    <row r="15" spans="1:32" ht="15.75" customHeight="1">
      <c r="A15" s="7">
        <v>14</v>
      </c>
      <c r="B15" s="4">
        <v>91</v>
      </c>
      <c r="C15" s="8">
        <v>1</v>
      </c>
      <c r="D15" s="8">
        <v>2</v>
      </c>
      <c r="E15" s="8">
        <v>1</v>
      </c>
      <c r="F15" s="8">
        <v>2</v>
      </c>
      <c r="G15" s="8">
        <v>2</v>
      </c>
      <c r="H15" s="8">
        <v>0</v>
      </c>
      <c r="I15" s="8">
        <v>2</v>
      </c>
      <c r="J15" s="3">
        <v>2</v>
      </c>
      <c r="K15" s="3">
        <v>3</v>
      </c>
      <c r="L15" s="3">
        <v>2</v>
      </c>
      <c r="M15" s="3">
        <v>4</v>
      </c>
      <c r="N15" s="3">
        <v>3</v>
      </c>
      <c r="O15" s="3">
        <v>3</v>
      </c>
      <c r="P15" s="3">
        <v>3</v>
      </c>
      <c r="Q15" s="3">
        <v>5</v>
      </c>
      <c r="R15" s="3">
        <v>4</v>
      </c>
      <c r="S15" s="3">
        <v>3</v>
      </c>
      <c r="T15" s="3">
        <v>3</v>
      </c>
      <c r="U15" s="3">
        <v>4</v>
      </c>
      <c r="V15" s="3">
        <v>2</v>
      </c>
      <c r="W15" s="3">
        <v>4</v>
      </c>
      <c r="X15" s="3">
        <v>3</v>
      </c>
      <c r="Y15" s="3">
        <v>19</v>
      </c>
      <c r="Z15" s="4">
        <v>249</v>
      </c>
      <c r="AA15" s="9">
        <v>7</v>
      </c>
      <c r="AB15" s="9">
        <v>2565</v>
      </c>
      <c r="AC15" s="5">
        <f t="shared" si="0"/>
        <v>1743</v>
      </c>
      <c r="AD15" s="5"/>
      <c r="AE15" s="5"/>
      <c r="AF15" s="5"/>
    </row>
    <row r="16" spans="1:32" ht="15.75" customHeight="1">
      <c r="A16" s="7">
        <v>15</v>
      </c>
      <c r="B16" s="4">
        <v>92</v>
      </c>
      <c r="C16" s="8">
        <v>2</v>
      </c>
      <c r="D16" s="8">
        <v>2</v>
      </c>
      <c r="E16" s="8">
        <v>1</v>
      </c>
      <c r="F16" s="8">
        <v>2</v>
      </c>
      <c r="G16" s="8">
        <v>2</v>
      </c>
      <c r="H16" s="8">
        <v>0</v>
      </c>
      <c r="I16" s="8">
        <v>2</v>
      </c>
      <c r="J16" s="3">
        <v>3</v>
      </c>
      <c r="K16" s="3">
        <v>4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  <c r="R16" s="3">
        <v>5</v>
      </c>
      <c r="S16" s="3">
        <v>5</v>
      </c>
      <c r="T16" s="3">
        <v>2</v>
      </c>
      <c r="U16" s="3">
        <v>4</v>
      </c>
      <c r="V16" s="3">
        <v>3</v>
      </c>
      <c r="W16" s="3">
        <v>3</v>
      </c>
      <c r="X16" s="3">
        <v>3</v>
      </c>
      <c r="Y16" s="3">
        <v>11</v>
      </c>
      <c r="Z16" s="4">
        <v>371</v>
      </c>
      <c r="AA16" s="9">
        <v>8</v>
      </c>
      <c r="AB16" s="9">
        <v>4047</v>
      </c>
      <c r="AC16" s="5">
        <f t="shared" si="0"/>
        <v>2968</v>
      </c>
      <c r="AD16" s="5"/>
      <c r="AE16" s="5"/>
      <c r="AF16" s="5"/>
    </row>
    <row r="17" spans="1:32" ht="15.75" customHeight="1">
      <c r="A17" s="7">
        <v>16</v>
      </c>
      <c r="B17" s="4">
        <v>87</v>
      </c>
      <c r="C17" s="8">
        <v>2</v>
      </c>
      <c r="D17" s="8">
        <v>2</v>
      </c>
      <c r="E17" s="8">
        <v>1</v>
      </c>
      <c r="F17" s="8">
        <v>2</v>
      </c>
      <c r="G17" s="13">
        <v>2</v>
      </c>
      <c r="H17" s="8">
        <v>0</v>
      </c>
      <c r="I17" s="8">
        <v>1</v>
      </c>
      <c r="J17" s="3">
        <v>2</v>
      </c>
      <c r="K17" s="3">
        <v>3</v>
      </c>
      <c r="L17" s="3">
        <v>2</v>
      </c>
      <c r="M17" s="3">
        <v>4</v>
      </c>
      <c r="N17" s="3">
        <v>3</v>
      </c>
      <c r="O17" s="3">
        <v>3</v>
      </c>
      <c r="P17" s="3">
        <v>4</v>
      </c>
      <c r="Q17" s="3">
        <v>4</v>
      </c>
      <c r="R17" s="3">
        <v>4</v>
      </c>
      <c r="S17" s="3">
        <v>3</v>
      </c>
      <c r="T17" s="3">
        <v>2</v>
      </c>
      <c r="U17" s="3">
        <v>4</v>
      </c>
      <c r="V17" s="3">
        <v>3</v>
      </c>
      <c r="W17" s="3">
        <v>3</v>
      </c>
      <c r="X17" s="3">
        <v>3</v>
      </c>
      <c r="Y17" s="3">
        <v>13</v>
      </c>
      <c r="Z17" s="4">
        <v>211</v>
      </c>
      <c r="AA17" s="9">
        <v>3</v>
      </c>
      <c r="AB17" s="9">
        <v>1520</v>
      </c>
      <c r="AC17" s="5">
        <f t="shared" si="0"/>
        <v>633</v>
      </c>
      <c r="AD17" s="5"/>
      <c r="AE17" s="5"/>
      <c r="AF17" s="5"/>
    </row>
    <row r="18" spans="1:32" ht="15.75" customHeight="1">
      <c r="A18" s="7">
        <v>17</v>
      </c>
      <c r="B18" s="4">
        <v>91</v>
      </c>
      <c r="C18" s="8">
        <v>2</v>
      </c>
      <c r="D18" s="8">
        <v>2</v>
      </c>
      <c r="E18" s="8">
        <v>1</v>
      </c>
      <c r="F18" s="8">
        <v>2</v>
      </c>
      <c r="G18" s="8">
        <v>2</v>
      </c>
      <c r="H18" s="8">
        <v>1</v>
      </c>
      <c r="I18" s="8">
        <v>4</v>
      </c>
      <c r="J18" s="3">
        <v>4</v>
      </c>
      <c r="K18" s="3">
        <v>1</v>
      </c>
      <c r="L18" s="3">
        <v>3</v>
      </c>
      <c r="M18" s="3">
        <v>3</v>
      </c>
      <c r="N18" s="3">
        <v>3</v>
      </c>
      <c r="O18" s="3">
        <v>4</v>
      </c>
      <c r="P18" s="3">
        <v>4</v>
      </c>
      <c r="Q18" s="3">
        <v>5</v>
      </c>
      <c r="R18" s="3">
        <v>4</v>
      </c>
      <c r="S18" s="3">
        <v>4</v>
      </c>
      <c r="T18" s="3">
        <v>4</v>
      </c>
      <c r="U18" s="3">
        <v>4</v>
      </c>
      <c r="V18" s="3">
        <v>3</v>
      </c>
      <c r="W18" s="3">
        <v>3</v>
      </c>
      <c r="X18" s="3">
        <v>4</v>
      </c>
      <c r="Y18" s="3">
        <v>32</v>
      </c>
      <c r="Z18" s="4">
        <v>1849</v>
      </c>
      <c r="AA18" s="9">
        <v>7</v>
      </c>
      <c r="AB18" s="9">
        <v>25910</v>
      </c>
      <c r="AC18" s="5">
        <f t="shared" si="0"/>
        <v>12943</v>
      </c>
      <c r="AD18" s="5"/>
      <c r="AE18" s="5"/>
      <c r="AF18" s="5"/>
    </row>
    <row r="19" spans="1:32" ht="15.75" customHeight="1">
      <c r="A19" s="7">
        <v>18</v>
      </c>
      <c r="B19" s="4">
        <v>89</v>
      </c>
      <c r="C19" s="8">
        <v>2</v>
      </c>
      <c r="D19" s="8">
        <v>2</v>
      </c>
      <c r="E19" s="8">
        <v>1</v>
      </c>
      <c r="F19" s="8">
        <v>2</v>
      </c>
      <c r="G19" s="8">
        <v>2</v>
      </c>
      <c r="H19" s="8">
        <v>1</v>
      </c>
      <c r="I19" s="8">
        <v>4</v>
      </c>
      <c r="J19" s="3">
        <v>4</v>
      </c>
      <c r="K19" s="3">
        <v>3</v>
      </c>
      <c r="L19" s="3">
        <v>4</v>
      </c>
      <c r="M19" s="3">
        <v>3</v>
      </c>
      <c r="N19" s="3">
        <v>4</v>
      </c>
      <c r="O19" s="3">
        <v>4</v>
      </c>
      <c r="P19" s="3">
        <v>5</v>
      </c>
      <c r="Q19" s="3">
        <v>4</v>
      </c>
      <c r="R19" s="3">
        <v>5</v>
      </c>
      <c r="S19" s="3">
        <v>4</v>
      </c>
      <c r="T19" s="3">
        <v>5</v>
      </c>
      <c r="U19" s="3">
        <v>5</v>
      </c>
      <c r="V19" s="3">
        <v>3</v>
      </c>
      <c r="W19" s="3">
        <v>1</v>
      </c>
      <c r="X19" s="3">
        <v>4</v>
      </c>
      <c r="Y19" s="3">
        <v>38</v>
      </c>
      <c r="Z19" s="4">
        <v>2482</v>
      </c>
      <c r="AA19" s="9">
        <v>5</v>
      </c>
      <c r="AB19" s="9">
        <v>37286</v>
      </c>
      <c r="AC19" s="5">
        <f t="shared" si="0"/>
        <v>12410</v>
      </c>
      <c r="AD19" s="5"/>
      <c r="AE19" s="5"/>
      <c r="AF19" s="5"/>
    </row>
    <row r="20" spans="1:32" ht="15.75" customHeight="1">
      <c r="A20" s="7">
        <v>19</v>
      </c>
      <c r="B20" s="4">
        <v>85</v>
      </c>
      <c r="C20" s="8">
        <v>3</v>
      </c>
      <c r="D20" s="8">
        <v>3</v>
      </c>
      <c r="E20" s="8">
        <v>1</v>
      </c>
      <c r="F20" s="8">
        <v>2</v>
      </c>
      <c r="G20" s="8">
        <v>2</v>
      </c>
      <c r="H20" s="8">
        <v>0</v>
      </c>
      <c r="I20" s="8">
        <v>4</v>
      </c>
      <c r="J20" s="3">
        <v>3</v>
      </c>
      <c r="K20" s="3">
        <v>2</v>
      </c>
      <c r="L20" s="3">
        <v>3</v>
      </c>
      <c r="M20" s="3">
        <v>3</v>
      </c>
      <c r="N20" s="3">
        <v>3</v>
      </c>
      <c r="O20" s="3">
        <v>2</v>
      </c>
      <c r="P20" s="3">
        <v>4</v>
      </c>
      <c r="Q20" s="3">
        <v>5</v>
      </c>
      <c r="R20" s="3">
        <v>4</v>
      </c>
      <c r="S20" s="3">
        <v>4</v>
      </c>
      <c r="T20" s="3">
        <v>4</v>
      </c>
      <c r="U20" s="3">
        <v>4</v>
      </c>
      <c r="V20" s="3">
        <v>4</v>
      </c>
      <c r="W20" s="3">
        <v>2</v>
      </c>
      <c r="X20" s="3">
        <v>3</v>
      </c>
      <c r="Y20" s="3">
        <v>40</v>
      </c>
      <c r="Z20" s="4">
        <v>434</v>
      </c>
      <c r="AA20" s="9">
        <v>1</v>
      </c>
      <c r="AB20" s="9">
        <v>15052</v>
      </c>
      <c r="AC20" s="5">
        <f t="shared" si="0"/>
        <v>434</v>
      </c>
      <c r="AD20" s="5"/>
      <c r="AE20" s="5"/>
      <c r="AF20" s="5"/>
    </row>
    <row r="21" spans="1:32" ht="15.75" customHeight="1">
      <c r="A21" s="7">
        <v>20</v>
      </c>
      <c r="B21" s="4">
        <v>87</v>
      </c>
      <c r="C21" s="8">
        <v>2</v>
      </c>
      <c r="D21" s="8">
        <v>2</v>
      </c>
      <c r="E21" s="8">
        <v>1</v>
      </c>
      <c r="F21" s="8">
        <v>2</v>
      </c>
      <c r="G21" s="8">
        <v>2</v>
      </c>
      <c r="H21" s="8">
        <v>0</v>
      </c>
      <c r="I21" s="8">
        <v>3</v>
      </c>
      <c r="J21" s="3">
        <v>4</v>
      </c>
      <c r="K21" s="3">
        <v>3</v>
      </c>
      <c r="L21" s="3">
        <v>4</v>
      </c>
      <c r="M21" s="3">
        <v>4</v>
      </c>
      <c r="N21" s="3">
        <v>4</v>
      </c>
      <c r="O21" s="3">
        <v>2</v>
      </c>
      <c r="P21" s="3">
        <v>3</v>
      </c>
      <c r="Q21" s="3">
        <v>4</v>
      </c>
      <c r="R21" s="3">
        <v>5</v>
      </c>
      <c r="S21" s="3">
        <v>5</v>
      </c>
      <c r="T21" s="3">
        <v>3</v>
      </c>
      <c r="U21" s="3">
        <v>4</v>
      </c>
      <c r="V21" s="3">
        <v>4</v>
      </c>
      <c r="W21" s="3">
        <v>2</v>
      </c>
      <c r="X21" s="3">
        <v>3</v>
      </c>
      <c r="Y21" s="3">
        <v>29</v>
      </c>
      <c r="Z21" s="4">
        <v>292</v>
      </c>
      <c r="AA21" s="9">
        <v>3</v>
      </c>
      <c r="AB21" s="9">
        <v>11039</v>
      </c>
      <c r="AC21" s="5">
        <f t="shared" si="0"/>
        <v>876</v>
      </c>
      <c r="AD21" s="5"/>
      <c r="AE21" s="5"/>
      <c r="AF21" s="5"/>
    </row>
    <row r="22" spans="1:32" ht="15.75" customHeight="1">
      <c r="A22" s="7">
        <v>21</v>
      </c>
      <c r="B22" s="4">
        <v>90</v>
      </c>
      <c r="C22" s="8">
        <v>3</v>
      </c>
      <c r="D22" s="8">
        <v>3</v>
      </c>
      <c r="E22" s="8">
        <v>1</v>
      </c>
      <c r="F22" s="8">
        <v>2</v>
      </c>
      <c r="G22" s="8">
        <v>2</v>
      </c>
      <c r="H22" s="8">
        <v>0</v>
      </c>
      <c r="I22" s="8">
        <v>4</v>
      </c>
      <c r="J22" s="3">
        <v>4</v>
      </c>
      <c r="K22" s="3">
        <v>4</v>
      </c>
      <c r="L22" s="3">
        <v>2</v>
      </c>
      <c r="M22" s="3">
        <v>3</v>
      </c>
      <c r="N22" s="3">
        <v>3</v>
      </c>
      <c r="O22" s="3">
        <v>3</v>
      </c>
      <c r="P22" s="3">
        <v>4</v>
      </c>
      <c r="Q22" s="3">
        <v>3</v>
      </c>
      <c r="R22" s="3">
        <v>4</v>
      </c>
      <c r="S22" s="3">
        <v>4</v>
      </c>
      <c r="T22" s="3">
        <v>5</v>
      </c>
      <c r="U22" s="3">
        <v>3</v>
      </c>
      <c r="V22" s="3">
        <v>2</v>
      </c>
      <c r="W22" s="3">
        <v>3</v>
      </c>
      <c r="X22" s="3">
        <v>3</v>
      </c>
      <c r="Y22" s="3">
        <v>14</v>
      </c>
      <c r="Z22" s="4">
        <v>2954</v>
      </c>
      <c r="AA22" s="9">
        <v>6</v>
      </c>
      <c r="AB22" s="9">
        <v>18500</v>
      </c>
      <c r="AC22" s="5">
        <f t="shared" si="0"/>
        <v>17724</v>
      </c>
      <c r="AD22" s="5"/>
      <c r="AE22" s="5"/>
      <c r="AF22" s="5"/>
    </row>
    <row r="23" spans="1:32" ht="15.75" customHeight="1">
      <c r="A23" s="7">
        <v>22</v>
      </c>
      <c r="B23" s="4">
        <v>91</v>
      </c>
      <c r="C23" s="8">
        <v>2</v>
      </c>
      <c r="D23" s="8">
        <v>3</v>
      </c>
      <c r="E23" s="8">
        <v>1</v>
      </c>
      <c r="F23" s="8">
        <v>2</v>
      </c>
      <c r="G23" s="8">
        <v>2</v>
      </c>
      <c r="H23" s="8">
        <v>0</v>
      </c>
      <c r="I23" s="8">
        <v>1</v>
      </c>
      <c r="J23" s="3">
        <v>4</v>
      </c>
      <c r="K23" s="3">
        <v>3</v>
      </c>
      <c r="L23" s="3">
        <v>2</v>
      </c>
      <c r="M23" s="3">
        <v>4</v>
      </c>
      <c r="N23" s="3">
        <v>3</v>
      </c>
      <c r="O23" s="3">
        <v>3</v>
      </c>
      <c r="P23" s="3">
        <v>4</v>
      </c>
      <c r="Q23" s="3">
        <v>4</v>
      </c>
      <c r="R23" s="3">
        <v>5</v>
      </c>
      <c r="S23" s="3">
        <v>4</v>
      </c>
      <c r="T23" s="3">
        <v>3</v>
      </c>
      <c r="U23" s="3">
        <v>4</v>
      </c>
      <c r="V23" s="3">
        <v>2</v>
      </c>
      <c r="W23" s="3">
        <v>4</v>
      </c>
      <c r="X23" s="3">
        <v>3</v>
      </c>
      <c r="Y23" s="3">
        <v>14</v>
      </c>
      <c r="Z23" s="4">
        <v>304</v>
      </c>
      <c r="AA23" s="9">
        <v>7</v>
      </c>
      <c r="AB23" s="9">
        <v>9369</v>
      </c>
      <c r="AC23" s="5">
        <f t="shared" si="0"/>
        <v>2128</v>
      </c>
      <c r="AD23" s="5"/>
      <c r="AE23" s="5"/>
      <c r="AF23" s="5"/>
    </row>
    <row r="24" spans="1:32" ht="15.75" customHeight="1">
      <c r="A24" s="7">
        <v>23</v>
      </c>
      <c r="B24" s="4">
        <v>89</v>
      </c>
      <c r="C24" s="8">
        <v>2</v>
      </c>
      <c r="D24" s="8">
        <v>5</v>
      </c>
      <c r="E24" s="8">
        <v>1</v>
      </c>
      <c r="F24" s="8">
        <v>2</v>
      </c>
      <c r="G24" s="8">
        <v>1</v>
      </c>
      <c r="H24" s="8">
        <v>0</v>
      </c>
      <c r="I24" s="8">
        <v>1</v>
      </c>
      <c r="J24" s="3">
        <v>4</v>
      </c>
      <c r="K24" s="3">
        <v>3</v>
      </c>
      <c r="L24" s="3">
        <v>2</v>
      </c>
      <c r="M24" s="3">
        <v>3</v>
      </c>
      <c r="N24" s="3">
        <v>2</v>
      </c>
      <c r="O24" s="3">
        <v>3</v>
      </c>
      <c r="P24" s="3">
        <v>2</v>
      </c>
      <c r="Q24" s="3">
        <v>4</v>
      </c>
      <c r="R24" s="3">
        <v>4</v>
      </c>
      <c r="S24" s="3">
        <v>4</v>
      </c>
      <c r="T24" s="3">
        <v>2</v>
      </c>
      <c r="U24" s="3">
        <v>2</v>
      </c>
      <c r="V24" s="3">
        <v>3</v>
      </c>
      <c r="W24" s="3">
        <v>3</v>
      </c>
      <c r="X24" s="3">
        <v>3</v>
      </c>
      <c r="Y24" s="3">
        <v>28</v>
      </c>
      <c r="Z24" s="4">
        <v>353</v>
      </c>
      <c r="AA24" s="9">
        <v>5</v>
      </c>
      <c r="AB24" s="9">
        <v>7184</v>
      </c>
      <c r="AC24" s="5">
        <f t="shared" si="0"/>
        <v>1765</v>
      </c>
      <c r="AD24" s="5"/>
      <c r="AE24" s="5"/>
      <c r="AF24" s="5"/>
    </row>
    <row r="25" spans="1:32" ht="15.75" customHeight="1">
      <c r="A25" s="7">
        <v>24</v>
      </c>
      <c r="B25" s="4">
        <v>92</v>
      </c>
      <c r="C25" s="8">
        <v>2</v>
      </c>
      <c r="D25" s="8">
        <v>2</v>
      </c>
      <c r="E25" s="8">
        <v>1</v>
      </c>
      <c r="F25" s="8">
        <v>2</v>
      </c>
      <c r="G25" s="8">
        <v>2</v>
      </c>
      <c r="H25" s="8">
        <v>1</v>
      </c>
      <c r="I25" s="8">
        <v>4</v>
      </c>
      <c r="J25" s="3">
        <v>2</v>
      </c>
      <c r="K25" s="3">
        <v>2</v>
      </c>
      <c r="L25" s="3">
        <v>2</v>
      </c>
      <c r="M25" s="3">
        <v>4</v>
      </c>
      <c r="N25" s="3">
        <v>3</v>
      </c>
      <c r="O25" s="3">
        <v>3</v>
      </c>
      <c r="P25" s="3">
        <v>4</v>
      </c>
      <c r="Q25" s="3">
        <v>4</v>
      </c>
      <c r="R25" s="3">
        <v>5</v>
      </c>
      <c r="S25" s="3">
        <v>5</v>
      </c>
      <c r="T25" s="3">
        <v>5</v>
      </c>
      <c r="U25" s="3">
        <v>4</v>
      </c>
      <c r="V25" s="3">
        <v>2</v>
      </c>
      <c r="W25" s="3">
        <v>2</v>
      </c>
      <c r="X25" s="3">
        <v>4</v>
      </c>
      <c r="Y25" s="3">
        <v>16</v>
      </c>
      <c r="Z25" s="4">
        <v>567</v>
      </c>
      <c r="AA25" s="9">
        <v>8</v>
      </c>
      <c r="AB25" s="9">
        <v>10447</v>
      </c>
      <c r="AC25" s="5">
        <f t="shared" si="0"/>
        <v>4536</v>
      </c>
      <c r="AD25" s="5"/>
      <c r="AE25" s="5"/>
      <c r="AF25" s="5"/>
    </row>
    <row r="26" spans="1:32" ht="15.75" customHeight="1">
      <c r="A26" s="7">
        <v>25</v>
      </c>
      <c r="B26" s="4">
        <v>91</v>
      </c>
      <c r="C26" s="8">
        <v>2</v>
      </c>
      <c r="D26" s="8">
        <v>2</v>
      </c>
      <c r="E26" s="8">
        <v>1</v>
      </c>
      <c r="F26" s="8">
        <v>2</v>
      </c>
      <c r="G26" s="8">
        <v>2</v>
      </c>
      <c r="H26" s="8">
        <v>1</v>
      </c>
      <c r="I26" s="8">
        <v>3</v>
      </c>
      <c r="J26" s="3">
        <v>4</v>
      </c>
      <c r="K26" s="3">
        <v>3</v>
      </c>
      <c r="L26" s="3">
        <v>4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4</v>
      </c>
      <c r="S26" s="3">
        <v>4</v>
      </c>
      <c r="T26" s="3">
        <v>3</v>
      </c>
      <c r="U26" s="3">
        <v>3</v>
      </c>
      <c r="V26" s="3">
        <v>2</v>
      </c>
      <c r="W26" s="3">
        <v>3</v>
      </c>
      <c r="X26" s="3">
        <v>3</v>
      </c>
      <c r="Y26" s="3">
        <v>13</v>
      </c>
      <c r="Z26" s="4">
        <v>467</v>
      </c>
      <c r="AA26" s="9">
        <v>7</v>
      </c>
      <c r="AB26" s="9">
        <v>5100</v>
      </c>
      <c r="AC26" s="5">
        <f t="shared" si="0"/>
        <v>3269</v>
      </c>
      <c r="AD26" s="5"/>
      <c r="AE26" s="5"/>
      <c r="AF26" s="5"/>
    </row>
    <row r="27" spans="1:32" ht="15.75" customHeight="1">
      <c r="A27" s="7">
        <v>26</v>
      </c>
      <c r="B27" s="4">
        <v>87</v>
      </c>
      <c r="C27" s="8">
        <v>2</v>
      </c>
      <c r="D27" s="8">
        <v>2</v>
      </c>
      <c r="E27" s="8">
        <v>1</v>
      </c>
      <c r="F27" s="8">
        <v>2</v>
      </c>
      <c r="G27" s="8">
        <v>2</v>
      </c>
      <c r="H27" s="8">
        <v>0</v>
      </c>
      <c r="I27" s="8">
        <v>3</v>
      </c>
      <c r="J27" s="3">
        <v>4</v>
      </c>
      <c r="K27" s="3">
        <v>3</v>
      </c>
      <c r="L27" s="3">
        <v>3</v>
      </c>
      <c r="M27" s="3">
        <v>4</v>
      </c>
      <c r="N27" s="3">
        <v>3</v>
      </c>
      <c r="O27" s="3">
        <v>3</v>
      </c>
      <c r="P27" s="3">
        <v>4</v>
      </c>
      <c r="Q27" s="3">
        <v>5</v>
      </c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3">
        <v>2</v>
      </c>
      <c r="X27" s="3">
        <v>4</v>
      </c>
      <c r="Y27" s="3">
        <v>45</v>
      </c>
      <c r="Z27" s="4">
        <v>3368</v>
      </c>
      <c r="AA27" s="9">
        <v>3</v>
      </c>
      <c r="AB27" s="9">
        <v>63694</v>
      </c>
      <c r="AC27" s="5">
        <f t="shared" si="0"/>
        <v>10104</v>
      </c>
      <c r="AD27" s="5"/>
      <c r="AE27" s="5"/>
      <c r="AF27" s="5"/>
    </row>
    <row r="28" spans="1:32" ht="15.75" customHeight="1">
      <c r="A28" s="7">
        <v>27</v>
      </c>
      <c r="B28" s="4">
        <v>92</v>
      </c>
      <c r="C28" s="8">
        <v>3</v>
      </c>
      <c r="D28" s="8">
        <v>2</v>
      </c>
      <c r="E28" s="8">
        <v>1</v>
      </c>
      <c r="F28" s="8">
        <v>2</v>
      </c>
      <c r="G28" s="8">
        <v>2</v>
      </c>
      <c r="H28" s="8">
        <v>1</v>
      </c>
      <c r="I28" s="8">
        <v>2</v>
      </c>
      <c r="J28" s="3">
        <v>3</v>
      </c>
      <c r="K28" s="3">
        <v>3</v>
      </c>
      <c r="L28" s="3">
        <v>3</v>
      </c>
      <c r="M28" s="3">
        <v>4</v>
      </c>
      <c r="N28" s="3">
        <v>3</v>
      </c>
      <c r="O28" s="3">
        <v>4</v>
      </c>
      <c r="P28" s="3">
        <v>2</v>
      </c>
      <c r="Q28" s="3">
        <v>4</v>
      </c>
      <c r="R28" s="3">
        <v>4</v>
      </c>
      <c r="S28" s="3">
        <v>3</v>
      </c>
      <c r="T28" s="3">
        <v>2</v>
      </c>
      <c r="U28" s="3">
        <v>4</v>
      </c>
      <c r="V28" s="3">
        <v>4</v>
      </c>
      <c r="W28" s="3">
        <v>2</v>
      </c>
      <c r="X28" s="3">
        <v>4</v>
      </c>
      <c r="Y28" s="3">
        <v>4</v>
      </c>
      <c r="Z28" s="4">
        <v>253</v>
      </c>
      <c r="AA28" s="9">
        <v>8</v>
      </c>
      <c r="AB28" s="9">
        <v>1651</v>
      </c>
      <c r="AC28" s="5">
        <f t="shared" si="0"/>
        <v>2024</v>
      </c>
      <c r="AD28" s="5"/>
      <c r="AE28" s="5"/>
      <c r="AF28" s="5"/>
    </row>
    <row r="29" spans="1:32" ht="15.75" customHeight="1">
      <c r="A29" s="7">
        <v>28</v>
      </c>
      <c r="B29" s="4">
        <v>91</v>
      </c>
      <c r="C29" s="8">
        <v>4</v>
      </c>
      <c r="D29" s="8">
        <v>3</v>
      </c>
      <c r="E29" s="8">
        <v>1</v>
      </c>
      <c r="F29" s="8">
        <v>2</v>
      </c>
      <c r="G29" s="8">
        <v>2</v>
      </c>
      <c r="H29" s="8">
        <v>1</v>
      </c>
      <c r="I29" s="8">
        <v>3</v>
      </c>
      <c r="J29" s="3">
        <v>1</v>
      </c>
      <c r="K29" s="3">
        <v>4</v>
      </c>
      <c r="L29" s="3">
        <v>2</v>
      </c>
      <c r="M29" s="3">
        <v>3</v>
      </c>
      <c r="N29" s="3">
        <v>3</v>
      </c>
      <c r="O29" s="3">
        <v>4</v>
      </c>
      <c r="P29" s="3">
        <v>2</v>
      </c>
      <c r="Q29" s="3">
        <v>3</v>
      </c>
      <c r="R29" s="3">
        <v>2</v>
      </c>
      <c r="S29" s="3">
        <v>3</v>
      </c>
      <c r="T29" s="3">
        <v>2</v>
      </c>
      <c r="U29" s="3">
        <v>4</v>
      </c>
      <c r="V29" s="3">
        <v>2</v>
      </c>
      <c r="W29" s="3">
        <v>4</v>
      </c>
      <c r="X29" s="3">
        <v>3</v>
      </c>
      <c r="Y29" s="3">
        <v>10</v>
      </c>
      <c r="Z29" s="4">
        <v>196</v>
      </c>
      <c r="AA29" s="9">
        <v>7</v>
      </c>
      <c r="AB29" s="9">
        <v>1450</v>
      </c>
      <c r="AC29" s="5">
        <f t="shared" si="0"/>
        <v>1372</v>
      </c>
      <c r="AD29" s="5"/>
      <c r="AE29" s="5"/>
      <c r="AF29" s="5"/>
    </row>
    <row r="30" spans="1:32" ht="15.75" customHeight="1">
      <c r="A30" s="7">
        <v>29</v>
      </c>
      <c r="B30" s="4">
        <v>92</v>
      </c>
      <c r="C30" s="8">
        <v>1</v>
      </c>
      <c r="D30" s="8">
        <v>2</v>
      </c>
      <c r="E30" s="8">
        <v>1</v>
      </c>
      <c r="F30" s="8">
        <v>2</v>
      </c>
      <c r="G30" s="8">
        <v>2</v>
      </c>
      <c r="H30" s="8">
        <v>0</v>
      </c>
      <c r="I30" s="8">
        <v>4</v>
      </c>
      <c r="J30" s="3">
        <v>3</v>
      </c>
      <c r="K30" s="3">
        <v>4</v>
      </c>
      <c r="L30" s="3">
        <v>2</v>
      </c>
      <c r="M30" s="3">
        <v>3</v>
      </c>
      <c r="N30" s="3">
        <v>3</v>
      </c>
      <c r="O30" s="3">
        <v>4</v>
      </c>
      <c r="P30" s="3">
        <v>3</v>
      </c>
      <c r="Q30" s="3">
        <v>5</v>
      </c>
      <c r="R30" s="3">
        <v>3</v>
      </c>
      <c r="S30" s="3">
        <v>3</v>
      </c>
      <c r="T30" s="3">
        <v>3</v>
      </c>
      <c r="U30" s="3">
        <v>4</v>
      </c>
      <c r="V30" s="3">
        <v>4</v>
      </c>
      <c r="W30" s="3">
        <v>5</v>
      </c>
      <c r="X30" s="3">
        <v>3</v>
      </c>
      <c r="Y30" s="3">
        <v>12</v>
      </c>
      <c r="Z30" s="4">
        <v>185</v>
      </c>
      <c r="AA30" s="9">
        <v>8</v>
      </c>
      <c r="AB30" s="9">
        <v>1745</v>
      </c>
      <c r="AC30" s="5">
        <f t="shared" si="0"/>
        <v>1480</v>
      </c>
      <c r="AD30" s="5"/>
      <c r="AE30" s="5"/>
      <c r="AF30" s="5"/>
    </row>
    <row r="31" spans="1:32" ht="15.75" customHeight="1">
      <c r="A31" s="7">
        <v>30</v>
      </c>
      <c r="B31" s="4">
        <v>88</v>
      </c>
      <c r="C31" s="8">
        <v>3</v>
      </c>
      <c r="D31" s="8">
        <v>2</v>
      </c>
      <c r="E31" s="8">
        <v>1</v>
      </c>
      <c r="F31" s="8">
        <v>2</v>
      </c>
      <c r="G31" s="8">
        <v>2</v>
      </c>
      <c r="H31" s="8">
        <v>0</v>
      </c>
      <c r="I31" s="8">
        <v>2</v>
      </c>
      <c r="J31" s="3">
        <v>2</v>
      </c>
      <c r="K31" s="3">
        <v>4</v>
      </c>
      <c r="L31" s="3">
        <v>3</v>
      </c>
      <c r="M31" s="3">
        <v>2</v>
      </c>
      <c r="N31" s="3">
        <v>2</v>
      </c>
      <c r="O31" s="3">
        <v>2</v>
      </c>
      <c r="P31" s="3">
        <v>3</v>
      </c>
      <c r="Q31" s="3">
        <v>4</v>
      </c>
      <c r="R31" s="3">
        <v>5</v>
      </c>
      <c r="S31" s="3">
        <v>4</v>
      </c>
      <c r="T31" s="3">
        <v>4</v>
      </c>
      <c r="U31" s="3">
        <v>4</v>
      </c>
      <c r="V31" s="3">
        <v>3</v>
      </c>
      <c r="W31" s="3">
        <v>3</v>
      </c>
      <c r="X31" s="3">
        <v>4</v>
      </c>
      <c r="Y31" s="3">
        <v>6</v>
      </c>
      <c r="Z31" s="4">
        <v>387</v>
      </c>
      <c r="AA31" s="9">
        <v>4</v>
      </c>
      <c r="AB31" s="9">
        <v>1798</v>
      </c>
      <c r="AC31" s="5">
        <f t="shared" si="0"/>
        <v>1548</v>
      </c>
      <c r="AD31" s="5"/>
      <c r="AE31" s="5"/>
      <c r="AF31" s="5"/>
    </row>
    <row r="32" spans="1:32" ht="15.75" customHeight="1">
      <c r="A32" s="7">
        <v>31</v>
      </c>
      <c r="B32" s="4">
        <v>88</v>
      </c>
      <c r="C32" s="8">
        <v>5</v>
      </c>
      <c r="D32" s="8">
        <v>2</v>
      </c>
      <c r="E32" s="8">
        <v>1</v>
      </c>
      <c r="F32" s="8">
        <v>2</v>
      </c>
      <c r="G32" s="8">
        <v>2</v>
      </c>
      <c r="H32" s="8">
        <v>0</v>
      </c>
      <c r="I32" s="8">
        <v>2</v>
      </c>
      <c r="J32" s="3">
        <v>1</v>
      </c>
      <c r="K32" s="3">
        <v>3</v>
      </c>
      <c r="L32" s="3">
        <v>3</v>
      </c>
      <c r="M32" s="3">
        <v>3</v>
      </c>
      <c r="N32" s="3">
        <v>3</v>
      </c>
      <c r="O32" s="3">
        <v>2</v>
      </c>
      <c r="P32" s="3">
        <v>4</v>
      </c>
      <c r="Q32" s="3">
        <v>5</v>
      </c>
      <c r="R32" s="3">
        <v>3</v>
      </c>
      <c r="S32" s="3">
        <v>2</v>
      </c>
      <c r="T32" s="3">
        <v>3</v>
      </c>
      <c r="U32" s="3">
        <v>3</v>
      </c>
      <c r="V32" s="3">
        <v>3</v>
      </c>
      <c r="W32" s="3">
        <v>4</v>
      </c>
      <c r="X32" s="3">
        <v>3</v>
      </c>
      <c r="Y32" s="3">
        <v>28</v>
      </c>
      <c r="Z32" s="4">
        <v>430</v>
      </c>
      <c r="AA32" s="9">
        <v>4</v>
      </c>
      <c r="AB32" s="9">
        <v>2957</v>
      </c>
      <c r="AC32" s="5">
        <f t="shared" si="0"/>
        <v>1720</v>
      </c>
      <c r="AD32" s="5"/>
      <c r="AE32" s="5"/>
      <c r="AF32" s="5"/>
    </row>
    <row r="33" spans="1:32" ht="15.75" customHeight="1">
      <c r="A33" s="7">
        <v>32</v>
      </c>
      <c r="B33" s="4">
        <v>89</v>
      </c>
      <c r="C33" s="8">
        <v>2</v>
      </c>
      <c r="D33" s="8">
        <v>2</v>
      </c>
      <c r="E33" s="8">
        <v>1</v>
      </c>
      <c r="F33" s="8">
        <v>2</v>
      </c>
      <c r="G33" s="8">
        <v>2</v>
      </c>
      <c r="H33" s="8">
        <v>0</v>
      </c>
      <c r="I33" s="8">
        <v>2</v>
      </c>
      <c r="J33" s="3">
        <v>3</v>
      </c>
      <c r="K33" s="3">
        <v>4</v>
      </c>
      <c r="L33" s="3">
        <v>2</v>
      </c>
      <c r="M33" s="3">
        <v>3</v>
      </c>
      <c r="N33" s="3">
        <v>3</v>
      </c>
      <c r="O33" s="3">
        <v>3</v>
      </c>
      <c r="P33" s="3">
        <v>3</v>
      </c>
      <c r="Q33" s="3">
        <v>4</v>
      </c>
      <c r="R33" s="3">
        <v>3</v>
      </c>
      <c r="S33" s="3">
        <v>4</v>
      </c>
      <c r="T33" s="3">
        <v>2</v>
      </c>
      <c r="U33" s="3">
        <v>4</v>
      </c>
      <c r="V33" s="3">
        <v>3</v>
      </c>
      <c r="W33" s="3">
        <v>3</v>
      </c>
      <c r="X33" s="3">
        <v>3</v>
      </c>
      <c r="Y33" s="3">
        <v>6</v>
      </c>
      <c r="Z33" s="4">
        <v>204</v>
      </c>
      <c r="AA33" s="9">
        <v>5</v>
      </c>
      <c r="AB33" s="9">
        <v>963</v>
      </c>
      <c r="AC33" s="5">
        <f t="shared" si="0"/>
        <v>1020</v>
      </c>
      <c r="AD33" s="5"/>
      <c r="AE33" s="5"/>
      <c r="AF33" s="5"/>
    </row>
    <row r="34" spans="1:32" ht="15.75" customHeight="1">
      <c r="A34" s="7">
        <v>33</v>
      </c>
      <c r="B34" s="4">
        <v>88</v>
      </c>
      <c r="C34" s="8">
        <v>2</v>
      </c>
      <c r="D34" s="8">
        <v>2</v>
      </c>
      <c r="E34" s="8">
        <v>1</v>
      </c>
      <c r="F34" s="8">
        <v>2</v>
      </c>
      <c r="G34" s="8">
        <v>2</v>
      </c>
      <c r="H34" s="8">
        <v>0</v>
      </c>
      <c r="I34" s="8">
        <v>1</v>
      </c>
      <c r="J34" s="3">
        <v>3</v>
      </c>
      <c r="K34" s="3">
        <v>3</v>
      </c>
      <c r="L34" s="3">
        <v>3</v>
      </c>
      <c r="M34" s="3">
        <v>4</v>
      </c>
      <c r="N34" s="3">
        <v>3</v>
      </c>
      <c r="O34" s="3">
        <v>3</v>
      </c>
      <c r="P34" s="3">
        <v>2</v>
      </c>
      <c r="Q34" s="3">
        <v>3</v>
      </c>
      <c r="R34" s="3">
        <v>4</v>
      </c>
      <c r="S34" s="3">
        <v>2</v>
      </c>
      <c r="T34" s="3">
        <v>3</v>
      </c>
      <c r="U34" s="3">
        <v>4</v>
      </c>
      <c r="V34" s="3">
        <v>2</v>
      </c>
      <c r="W34" s="3">
        <v>4</v>
      </c>
      <c r="X34" s="3">
        <v>3</v>
      </c>
      <c r="Y34" s="3">
        <v>6</v>
      </c>
      <c r="Z34" s="4">
        <v>71</v>
      </c>
      <c r="AA34" s="9">
        <v>4</v>
      </c>
      <c r="AB34" s="9">
        <v>1233</v>
      </c>
      <c r="AC34" s="5">
        <f t="shared" si="0"/>
        <v>284</v>
      </c>
      <c r="AD34" s="5"/>
      <c r="AE34" s="5"/>
      <c r="AF34" s="5"/>
    </row>
    <row r="35" spans="1:32" ht="15.75" customHeight="1">
      <c r="A35" s="7">
        <v>34</v>
      </c>
      <c r="B35" s="4">
        <v>91</v>
      </c>
      <c r="C35" s="8">
        <v>1</v>
      </c>
      <c r="D35" s="8">
        <v>3</v>
      </c>
      <c r="E35" s="8">
        <v>1</v>
      </c>
      <c r="F35" s="8">
        <v>1</v>
      </c>
      <c r="G35" s="8">
        <v>1</v>
      </c>
      <c r="H35" s="8">
        <v>0</v>
      </c>
      <c r="I35" s="8">
        <v>3</v>
      </c>
      <c r="J35" s="3">
        <v>4</v>
      </c>
      <c r="K35" s="3">
        <v>2</v>
      </c>
      <c r="L35" s="3">
        <v>4</v>
      </c>
      <c r="M35" s="3">
        <v>3</v>
      </c>
      <c r="N35" s="3">
        <v>5</v>
      </c>
      <c r="O35" s="3">
        <v>3</v>
      </c>
      <c r="P35" s="3">
        <v>4</v>
      </c>
      <c r="Q35" s="3">
        <v>5</v>
      </c>
      <c r="R35" s="3">
        <v>5</v>
      </c>
      <c r="S35" s="3">
        <v>4</v>
      </c>
      <c r="T35" s="3">
        <v>3</v>
      </c>
      <c r="U35" s="3">
        <v>5</v>
      </c>
      <c r="V35" s="3">
        <v>4</v>
      </c>
      <c r="W35" s="3">
        <v>4</v>
      </c>
      <c r="X35" s="3">
        <v>5</v>
      </c>
      <c r="Y35" s="3">
        <v>6</v>
      </c>
      <c r="Z35" s="4">
        <v>840</v>
      </c>
      <c r="AA35" s="9">
        <v>7</v>
      </c>
      <c r="AB35" s="9">
        <v>3240</v>
      </c>
      <c r="AC35" s="5">
        <f t="shared" si="0"/>
        <v>5880</v>
      </c>
      <c r="AD35" s="5"/>
      <c r="AE35" s="5"/>
      <c r="AF35" s="5"/>
    </row>
    <row r="36" spans="1:32" ht="15.75" customHeight="1">
      <c r="A36" s="7">
        <v>35</v>
      </c>
      <c r="B36" s="4">
        <v>90</v>
      </c>
      <c r="C36" s="8">
        <v>2</v>
      </c>
      <c r="D36" s="8">
        <v>3</v>
      </c>
      <c r="E36" s="8">
        <v>1</v>
      </c>
      <c r="F36" s="8">
        <v>1</v>
      </c>
      <c r="G36" s="8">
        <v>1</v>
      </c>
      <c r="H36" s="8">
        <v>0</v>
      </c>
      <c r="I36" s="8">
        <v>4</v>
      </c>
      <c r="J36" s="3">
        <v>4</v>
      </c>
      <c r="K36" s="3">
        <v>2</v>
      </c>
      <c r="L36" s="3">
        <v>4</v>
      </c>
      <c r="M36" s="3">
        <v>3</v>
      </c>
      <c r="N36" s="3">
        <v>5</v>
      </c>
      <c r="O36" s="3">
        <v>3</v>
      </c>
      <c r="P36" s="3">
        <v>5</v>
      </c>
      <c r="Q36" s="3">
        <v>3</v>
      </c>
      <c r="R36" s="3">
        <v>5</v>
      </c>
      <c r="S36" s="3">
        <v>5</v>
      </c>
      <c r="T36" s="3">
        <v>4</v>
      </c>
      <c r="U36" s="3">
        <v>5</v>
      </c>
      <c r="V36" s="3">
        <v>3</v>
      </c>
      <c r="W36" s="3">
        <v>4</v>
      </c>
      <c r="X36" s="3">
        <v>5</v>
      </c>
      <c r="Y36" s="3">
        <v>11</v>
      </c>
      <c r="Z36" s="4">
        <v>1648</v>
      </c>
      <c r="AA36" s="9">
        <v>6</v>
      </c>
      <c r="AB36" s="9">
        <v>10000</v>
      </c>
      <c r="AC36" s="5">
        <f t="shared" si="0"/>
        <v>9888</v>
      </c>
      <c r="AD36" s="5"/>
      <c r="AE36" s="5"/>
      <c r="AF36" s="5"/>
    </row>
    <row r="37" spans="1:32" ht="15.75" customHeight="1">
      <c r="A37" s="7">
        <v>36</v>
      </c>
      <c r="B37" s="4">
        <v>91</v>
      </c>
      <c r="C37" s="8">
        <v>2</v>
      </c>
      <c r="D37" s="8">
        <v>3</v>
      </c>
      <c r="E37" s="8">
        <v>1</v>
      </c>
      <c r="F37" s="8">
        <v>1</v>
      </c>
      <c r="G37" s="8">
        <v>1</v>
      </c>
      <c r="H37" s="8">
        <v>0</v>
      </c>
      <c r="I37" s="8">
        <v>4</v>
      </c>
      <c r="J37" s="3">
        <v>4</v>
      </c>
      <c r="K37" s="3">
        <v>2</v>
      </c>
      <c r="L37" s="3">
        <v>4</v>
      </c>
      <c r="M37" s="3">
        <v>3</v>
      </c>
      <c r="N37" s="3">
        <v>5</v>
      </c>
      <c r="O37" s="3">
        <v>3</v>
      </c>
      <c r="P37" s="3">
        <v>5</v>
      </c>
      <c r="Q37" s="3">
        <v>3</v>
      </c>
      <c r="R37" s="3">
        <v>5</v>
      </c>
      <c r="S37" s="3">
        <v>5</v>
      </c>
      <c r="T37" s="3">
        <v>4</v>
      </c>
      <c r="U37" s="3">
        <v>5</v>
      </c>
      <c r="V37" s="3">
        <v>3</v>
      </c>
      <c r="W37" s="3">
        <v>4</v>
      </c>
      <c r="X37" s="3">
        <v>5</v>
      </c>
      <c r="Y37" s="3">
        <v>8</v>
      </c>
      <c r="Z37" s="4">
        <v>1035</v>
      </c>
      <c r="AA37" s="9">
        <v>7</v>
      </c>
      <c r="AB37" s="9">
        <v>6800</v>
      </c>
      <c r="AC37" s="5">
        <f t="shared" si="0"/>
        <v>7245</v>
      </c>
      <c r="AD37" s="5"/>
      <c r="AE37" s="5"/>
      <c r="AF37" s="5"/>
    </row>
    <row r="38" spans="1:32" ht="15.75" customHeight="1">
      <c r="A38" s="7">
        <v>37</v>
      </c>
      <c r="B38" s="4">
        <v>85</v>
      </c>
      <c r="C38" s="8">
        <v>3</v>
      </c>
      <c r="D38" s="8">
        <v>2</v>
      </c>
      <c r="E38" s="8">
        <v>1</v>
      </c>
      <c r="F38" s="8">
        <v>2</v>
      </c>
      <c r="G38" s="8">
        <v>2</v>
      </c>
      <c r="H38" s="8">
        <v>0</v>
      </c>
      <c r="I38" s="8">
        <v>1</v>
      </c>
      <c r="J38" s="3">
        <v>3</v>
      </c>
      <c r="K38" s="3">
        <v>3</v>
      </c>
      <c r="L38" s="3">
        <v>4</v>
      </c>
      <c r="M38" s="3">
        <v>2</v>
      </c>
      <c r="N38" s="3">
        <v>3</v>
      </c>
      <c r="O38" s="3">
        <v>2</v>
      </c>
      <c r="P38" s="3">
        <v>3</v>
      </c>
      <c r="Q38" s="3">
        <v>4</v>
      </c>
      <c r="R38" s="3">
        <v>3</v>
      </c>
      <c r="S38" s="3">
        <v>3</v>
      </c>
      <c r="T38" s="3">
        <v>3</v>
      </c>
      <c r="U38" s="3">
        <v>4</v>
      </c>
      <c r="V38" s="3">
        <v>4</v>
      </c>
      <c r="W38" s="3">
        <v>3</v>
      </c>
      <c r="X38" s="3">
        <v>3</v>
      </c>
      <c r="Y38" s="3">
        <v>22</v>
      </c>
      <c r="Z38" s="4">
        <v>548</v>
      </c>
      <c r="AA38" s="9">
        <v>1</v>
      </c>
      <c r="AB38" s="9">
        <v>3850</v>
      </c>
      <c r="AC38" s="5">
        <f t="shared" si="0"/>
        <v>548</v>
      </c>
      <c r="AD38" s="5"/>
      <c r="AE38" s="5"/>
      <c r="AF38" s="5"/>
    </row>
    <row r="39" spans="1:32" ht="15.75" customHeight="1">
      <c r="A39" s="7">
        <v>38</v>
      </c>
      <c r="B39" s="4">
        <v>91</v>
      </c>
      <c r="C39" s="8">
        <v>3</v>
      </c>
      <c r="D39" s="8">
        <v>3</v>
      </c>
      <c r="E39" s="8">
        <v>1</v>
      </c>
      <c r="F39" s="8">
        <v>2</v>
      </c>
      <c r="G39" s="8">
        <v>2</v>
      </c>
      <c r="H39" s="8">
        <v>1</v>
      </c>
      <c r="I39" s="8">
        <v>3</v>
      </c>
      <c r="J39" s="3">
        <v>4</v>
      </c>
      <c r="K39" s="3">
        <v>3</v>
      </c>
      <c r="L39" s="3">
        <v>4</v>
      </c>
      <c r="M39" s="3">
        <v>4</v>
      </c>
      <c r="N39" s="3">
        <v>4</v>
      </c>
      <c r="O39" s="3">
        <v>3</v>
      </c>
      <c r="P39" s="3">
        <v>3</v>
      </c>
      <c r="Q39" s="3">
        <v>4</v>
      </c>
      <c r="R39" s="3">
        <v>4</v>
      </c>
      <c r="S39" s="3">
        <v>4</v>
      </c>
      <c r="T39" s="3">
        <v>5</v>
      </c>
      <c r="U39" s="3">
        <v>5</v>
      </c>
      <c r="V39" s="3">
        <v>4</v>
      </c>
      <c r="W39" s="3">
        <v>3</v>
      </c>
      <c r="X39" s="3">
        <v>4</v>
      </c>
      <c r="Y39" s="3">
        <v>31</v>
      </c>
      <c r="Z39" s="4">
        <v>2054</v>
      </c>
      <c r="AA39" s="9">
        <v>7</v>
      </c>
      <c r="AB39" s="9">
        <v>14000</v>
      </c>
      <c r="AC39" s="5">
        <f t="shared" si="0"/>
        <v>14378</v>
      </c>
      <c r="AD39" s="5"/>
      <c r="AE39" s="5"/>
      <c r="AF39" s="5"/>
    </row>
    <row r="40" spans="1:32" ht="15.75" customHeight="1">
      <c r="A40" s="7">
        <v>39</v>
      </c>
      <c r="B40" s="4">
        <v>88</v>
      </c>
      <c r="C40" s="8">
        <v>5</v>
      </c>
      <c r="D40" s="8">
        <v>2</v>
      </c>
      <c r="E40" s="8">
        <v>1</v>
      </c>
      <c r="F40" s="8">
        <v>2</v>
      </c>
      <c r="G40" s="8">
        <v>2</v>
      </c>
      <c r="H40" s="8">
        <v>0</v>
      </c>
      <c r="I40" s="8">
        <v>2</v>
      </c>
      <c r="J40" s="3">
        <v>2</v>
      </c>
      <c r="K40" s="3">
        <v>3</v>
      </c>
      <c r="L40" s="3">
        <v>2</v>
      </c>
      <c r="M40" s="3">
        <v>4</v>
      </c>
      <c r="N40" s="3">
        <v>3</v>
      </c>
      <c r="O40" s="3">
        <v>3</v>
      </c>
      <c r="P40" s="3">
        <v>3</v>
      </c>
      <c r="Q40" s="3">
        <v>4</v>
      </c>
      <c r="R40" s="3">
        <v>3</v>
      </c>
      <c r="S40" s="3">
        <v>3</v>
      </c>
      <c r="T40" s="3">
        <v>3</v>
      </c>
      <c r="U40" s="3">
        <v>3</v>
      </c>
      <c r="V40" s="3">
        <v>2</v>
      </c>
      <c r="W40" s="3">
        <v>4</v>
      </c>
      <c r="X40" s="3">
        <v>3</v>
      </c>
      <c r="Y40" s="3">
        <v>26</v>
      </c>
      <c r="Z40" s="4">
        <v>302</v>
      </c>
      <c r="AA40" s="9">
        <v>4</v>
      </c>
      <c r="AB40" s="9">
        <v>5787</v>
      </c>
      <c r="AC40" s="5">
        <f t="shared" si="0"/>
        <v>1208</v>
      </c>
      <c r="AD40" s="5"/>
      <c r="AE40" s="5"/>
      <c r="AF40" s="5"/>
    </row>
    <row r="41" spans="1:32" ht="15.75" customHeight="1">
      <c r="A41" s="7">
        <v>40</v>
      </c>
      <c r="B41" s="4">
        <v>93</v>
      </c>
      <c r="C41" s="8">
        <v>3</v>
      </c>
      <c r="D41" s="8">
        <v>3</v>
      </c>
      <c r="E41" s="8">
        <v>1</v>
      </c>
      <c r="F41" s="8">
        <v>2</v>
      </c>
      <c r="G41" s="8">
        <v>2</v>
      </c>
      <c r="H41" s="8">
        <v>1</v>
      </c>
      <c r="I41" s="8">
        <v>3</v>
      </c>
      <c r="J41" s="3">
        <v>4</v>
      </c>
      <c r="K41" s="3">
        <v>2</v>
      </c>
      <c r="L41" s="3">
        <v>2</v>
      </c>
      <c r="M41" s="3">
        <v>3</v>
      </c>
      <c r="N41" s="3">
        <v>4</v>
      </c>
      <c r="O41" s="3">
        <v>4</v>
      </c>
      <c r="P41" s="3">
        <v>4</v>
      </c>
      <c r="Q41" s="3">
        <v>2</v>
      </c>
      <c r="R41" s="3">
        <v>4</v>
      </c>
      <c r="S41" s="3">
        <v>2</v>
      </c>
      <c r="T41" s="3">
        <v>4</v>
      </c>
      <c r="U41" s="3">
        <v>3</v>
      </c>
      <c r="V41" s="3">
        <v>4</v>
      </c>
      <c r="W41" s="3">
        <v>3</v>
      </c>
      <c r="X41" s="3">
        <v>4</v>
      </c>
      <c r="Y41" s="3">
        <v>22</v>
      </c>
      <c r="Z41" s="4">
        <v>1172</v>
      </c>
      <c r="AA41" s="9">
        <v>9</v>
      </c>
      <c r="AB41" s="9">
        <v>9700</v>
      </c>
      <c r="AC41" s="5">
        <f t="shared" si="0"/>
        <v>10548</v>
      </c>
      <c r="AD41" s="5"/>
      <c r="AE41" s="5"/>
      <c r="AF41" s="5"/>
    </row>
    <row r="42" spans="1:32" ht="15.75" customHeight="1">
      <c r="A42" s="7">
        <v>41</v>
      </c>
      <c r="B42" s="4">
        <v>91</v>
      </c>
      <c r="C42" s="8">
        <v>1</v>
      </c>
      <c r="D42" s="8">
        <v>5</v>
      </c>
      <c r="E42" s="8">
        <v>1</v>
      </c>
      <c r="F42" s="8">
        <v>1</v>
      </c>
      <c r="G42" s="8">
        <v>2</v>
      </c>
      <c r="H42" s="8">
        <v>0</v>
      </c>
      <c r="I42" s="8">
        <v>1</v>
      </c>
      <c r="J42" s="3">
        <v>3</v>
      </c>
      <c r="K42" s="3">
        <v>3</v>
      </c>
      <c r="L42" s="3">
        <v>3</v>
      </c>
      <c r="M42" s="3">
        <v>2</v>
      </c>
      <c r="N42" s="3">
        <v>2</v>
      </c>
      <c r="O42" s="3">
        <v>3</v>
      </c>
      <c r="P42" s="3">
        <v>3</v>
      </c>
      <c r="Q42" s="3">
        <v>3</v>
      </c>
      <c r="R42" s="3">
        <v>4</v>
      </c>
      <c r="S42" s="3">
        <v>3</v>
      </c>
      <c r="T42" s="3">
        <v>3</v>
      </c>
      <c r="U42" s="3">
        <v>4</v>
      </c>
      <c r="V42" s="3">
        <v>4</v>
      </c>
      <c r="W42" s="3">
        <v>4</v>
      </c>
      <c r="X42" s="3">
        <v>3</v>
      </c>
      <c r="Y42" s="3">
        <v>7</v>
      </c>
      <c r="Z42" s="4">
        <v>253</v>
      </c>
      <c r="AA42" s="9">
        <v>7</v>
      </c>
      <c r="AB42" s="9">
        <v>1100</v>
      </c>
      <c r="AC42" s="5">
        <f t="shared" si="0"/>
        <v>1771</v>
      </c>
      <c r="AD42" s="5"/>
      <c r="AE42" s="5"/>
      <c r="AF42" s="5"/>
    </row>
    <row r="43" spans="1:32" ht="15.75" customHeight="1">
      <c r="A43" s="7">
        <v>42</v>
      </c>
      <c r="B43" s="4">
        <v>92</v>
      </c>
      <c r="C43" s="8">
        <v>2</v>
      </c>
      <c r="D43" s="8">
        <v>2</v>
      </c>
      <c r="E43" s="8">
        <v>1</v>
      </c>
      <c r="F43" s="8">
        <v>2</v>
      </c>
      <c r="G43" s="8">
        <v>2</v>
      </c>
      <c r="H43" s="8">
        <v>0</v>
      </c>
      <c r="I43" s="8">
        <v>2</v>
      </c>
      <c r="J43" s="3">
        <v>3</v>
      </c>
      <c r="K43" s="3">
        <v>4</v>
      </c>
      <c r="L43" s="3">
        <v>2</v>
      </c>
      <c r="M43" s="3">
        <v>4</v>
      </c>
      <c r="N43" s="3">
        <v>3</v>
      </c>
      <c r="O43" s="3">
        <v>3</v>
      </c>
      <c r="P43" s="3">
        <v>3</v>
      </c>
      <c r="Q43" s="3">
        <v>3</v>
      </c>
      <c r="R43" s="3">
        <v>5</v>
      </c>
      <c r="S43" s="3">
        <v>5</v>
      </c>
      <c r="T43" s="3">
        <v>3</v>
      </c>
      <c r="U43" s="3">
        <v>3</v>
      </c>
      <c r="V43" s="3">
        <v>2</v>
      </c>
      <c r="W43" s="3">
        <v>3</v>
      </c>
      <c r="X43" s="3">
        <v>3</v>
      </c>
      <c r="Y43" s="3">
        <v>14</v>
      </c>
      <c r="Z43" s="4">
        <v>227</v>
      </c>
      <c r="AA43" s="9">
        <v>8</v>
      </c>
      <c r="AB43" s="9">
        <v>5578</v>
      </c>
      <c r="AC43" s="5">
        <f t="shared" si="0"/>
        <v>1816</v>
      </c>
      <c r="AD43" s="5"/>
      <c r="AE43" s="5"/>
      <c r="AF43" s="5"/>
    </row>
    <row r="44" spans="1:32" ht="15.75" customHeight="1">
      <c r="A44" s="7">
        <v>43</v>
      </c>
      <c r="B44" s="4">
        <v>92</v>
      </c>
      <c r="C44" s="8">
        <v>2</v>
      </c>
      <c r="D44" s="8">
        <v>2</v>
      </c>
      <c r="E44" s="8">
        <v>1</v>
      </c>
      <c r="F44" s="8">
        <v>2</v>
      </c>
      <c r="G44" s="8">
        <v>2</v>
      </c>
      <c r="H44" s="8">
        <v>0</v>
      </c>
      <c r="I44" s="8">
        <v>3</v>
      </c>
      <c r="J44" s="3">
        <v>4</v>
      </c>
      <c r="K44" s="3">
        <v>3</v>
      </c>
      <c r="L44" s="3">
        <v>3</v>
      </c>
      <c r="M44" s="3">
        <v>3</v>
      </c>
      <c r="N44" s="3">
        <v>3</v>
      </c>
      <c r="O44" s="3">
        <v>3</v>
      </c>
      <c r="P44" s="3">
        <v>2</v>
      </c>
      <c r="Q44" s="3">
        <v>3</v>
      </c>
      <c r="R44" s="3">
        <v>4</v>
      </c>
      <c r="S44" s="3">
        <v>3</v>
      </c>
      <c r="T44" s="3">
        <v>3</v>
      </c>
      <c r="U44" s="3">
        <v>4</v>
      </c>
      <c r="V44" s="3">
        <v>3</v>
      </c>
      <c r="W44" s="3">
        <v>3</v>
      </c>
      <c r="X44" s="3">
        <v>3</v>
      </c>
      <c r="Y44" s="3">
        <v>6</v>
      </c>
      <c r="Z44" s="4">
        <v>59</v>
      </c>
      <c r="AA44" s="9">
        <v>8</v>
      </c>
      <c r="AB44" s="9">
        <v>1060</v>
      </c>
      <c r="AC44" s="5">
        <f t="shared" si="0"/>
        <v>472</v>
      </c>
      <c r="AD44" s="5"/>
      <c r="AE44" s="5"/>
      <c r="AF44" s="5"/>
    </row>
    <row r="45" spans="1:32" ht="15.75" customHeight="1">
      <c r="A45" s="7">
        <v>44</v>
      </c>
      <c r="B45" s="4">
        <v>91</v>
      </c>
      <c r="C45" s="8">
        <v>1</v>
      </c>
      <c r="D45" s="8">
        <v>2</v>
      </c>
      <c r="E45" s="8">
        <v>1</v>
      </c>
      <c r="F45" s="8">
        <v>2</v>
      </c>
      <c r="G45" s="8">
        <v>2</v>
      </c>
      <c r="H45" s="8">
        <v>1</v>
      </c>
      <c r="I45" s="8">
        <v>4</v>
      </c>
      <c r="J45" s="3">
        <v>3</v>
      </c>
      <c r="K45" s="3">
        <v>3</v>
      </c>
      <c r="L45" s="3">
        <v>4</v>
      </c>
      <c r="M45" s="3">
        <v>4</v>
      </c>
      <c r="N45" s="3">
        <v>4</v>
      </c>
      <c r="O45" s="3">
        <v>4</v>
      </c>
      <c r="P45" s="3">
        <v>3</v>
      </c>
      <c r="Q45" s="3">
        <v>4</v>
      </c>
      <c r="R45" s="3">
        <v>4</v>
      </c>
      <c r="S45" s="3">
        <v>3</v>
      </c>
      <c r="T45" s="3">
        <v>5</v>
      </c>
      <c r="U45" s="3">
        <v>4</v>
      </c>
      <c r="V45" s="3">
        <v>3</v>
      </c>
      <c r="W45" s="3">
        <v>2</v>
      </c>
      <c r="X45" s="3">
        <v>3</v>
      </c>
      <c r="Y45" s="3">
        <v>6</v>
      </c>
      <c r="Z45" s="4">
        <v>299</v>
      </c>
      <c r="AA45" s="9">
        <v>7</v>
      </c>
      <c r="AB45" s="9">
        <v>5279</v>
      </c>
      <c r="AC45" s="5">
        <f t="shared" si="0"/>
        <v>2093</v>
      </c>
      <c r="AD45" s="5"/>
      <c r="AE45" s="5"/>
      <c r="AF45" s="5"/>
    </row>
    <row r="46" spans="1:32" ht="15.75" customHeight="1">
      <c r="A46" s="7">
        <v>45</v>
      </c>
      <c r="B46" s="4">
        <v>89</v>
      </c>
      <c r="C46" s="8">
        <v>3</v>
      </c>
      <c r="D46" s="8">
        <v>2</v>
      </c>
      <c r="E46" s="8">
        <v>1</v>
      </c>
      <c r="F46" s="8">
        <v>2</v>
      </c>
      <c r="G46" s="8">
        <v>2</v>
      </c>
      <c r="H46" s="8">
        <v>0</v>
      </c>
      <c r="I46" s="8">
        <v>1</v>
      </c>
      <c r="J46" s="3">
        <v>3</v>
      </c>
      <c r="K46" s="3">
        <v>3</v>
      </c>
      <c r="L46" s="3">
        <v>3</v>
      </c>
      <c r="M46" s="3">
        <v>4</v>
      </c>
      <c r="N46" s="3">
        <v>3</v>
      </c>
      <c r="O46" s="3">
        <v>3</v>
      </c>
      <c r="P46" s="3">
        <v>3</v>
      </c>
      <c r="Q46" s="3">
        <v>3</v>
      </c>
      <c r="R46" s="3">
        <v>5</v>
      </c>
      <c r="S46" s="3">
        <v>3</v>
      </c>
      <c r="T46" s="3">
        <v>4</v>
      </c>
      <c r="U46" s="3">
        <v>4</v>
      </c>
      <c r="V46" s="3">
        <v>3</v>
      </c>
      <c r="W46" s="3">
        <v>2</v>
      </c>
      <c r="X46" s="3">
        <v>4</v>
      </c>
      <c r="Y46" s="3">
        <v>15</v>
      </c>
      <c r="Z46" s="4">
        <v>422</v>
      </c>
      <c r="AA46" s="9">
        <v>5</v>
      </c>
      <c r="AB46" s="9">
        <v>8117</v>
      </c>
      <c r="AC46" s="5">
        <f t="shared" si="0"/>
        <v>2110</v>
      </c>
      <c r="AD46" s="5"/>
      <c r="AE46" s="5"/>
      <c r="AF46" s="5"/>
    </row>
    <row r="47" spans="1:32" ht="15.75" customHeight="1">
      <c r="A47" s="7">
        <v>46</v>
      </c>
      <c r="B47" s="4">
        <v>90</v>
      </c>
      <c r="C47" s="8">
        <v>2</v>
      </c>
      <c r="D47" s="8">
        <v>5</v>
      </c>
      <c r="E47" s="8">
        <v>1</v>
      </c>
      <c r="F47" s="8">
        <v>2</v>
      </c>
      <c r="G47" s="8">
        <v>1</v>
      </c>
      <c r="H47" s="8">
        <v>0</v>
      </c>
      <c r="I47" s="8">
        <v>3</v>
      </c>
      <c r="J47" s="3">
        <v>4</v>
      </c>
      <c r="K47" s="3">
        <v>4</v>
      </c>
      <c r="L47" s="3">
        <v>3</v>
      </c>
      <c r="M47" s="3">
        <v>5</v>
      </c>
      <c r="N47" s="3">
        <v>4</v>
      </c>
      <c r="O47" s="3">
        <v>4</v>
      </c>
      <c r="P47" s="3">
        <v>5</v>
      </c>
      <c r="Q47" s="3">
        <v>3</v>
      </c>
      <c r="R47" s="3">
        <v>4</v>
      </c>
      <c r="S47" s="3">
        <v>4</v>
      </c>
      <c r="T47" s="3">
        <v>3</v>
      </c>
      <c r="U47" s="3">
        <v>5</v>
      </c>
      <c r="V47" s="3">
        <v>2</v>
      </c>
      <c r="W47" s="3">
        <v>4</v>
      </c>
      <c r="X47" s="3">
        <v>4</v>
      </c>
      <c r="Y47" s="3">
        <v>9</v>
      </c>
      <c r="Z47" s="4">
        <v>1058</v>
      </c>
      <c r="AA47" s="9">
        <v>6</v>
      </c>
      <c r="AB47" s="9">
        <v>8710</v>
      </c>
      <c r="AC47" s="5">
        <f t="shared" si="0"/>
        <v>6348</v>
      </c>
      <c r="AD47" s="5"/>
      <c r="AE47" s="5"/>
      <c r="AF47" s="5"/>
    </row>
    <row r="48" spans="1:32" ht="15.75" customHeight="1">
      <c r="A48" s="7">
        <v>47</v>
      </c>
      <c r="B48" s="4">
        <v>90</v>
      </c>
      <c r="C48" s="8">
        <v>1</v>
      </c>
      <c r="D48" s="8">
        <v>5</v>
      </c>
      <c r="E48" s="8">
        <v>4</v>
      </c>
      <c r="F48" s="8">
        <v>2</v>
      </c>
      <c r="G48" s="8">
        <v>2</v>
      </c>
      <c r="H48" s="8">
        <v>0</v>
      </c>
      <c r="I48" s="8">
        <v>3</v>
      </c>
      <c r="J48" s="3">
        <v>4</v>
      </c>
      <c r="K48" s="3">
        <v>2</v>
      </c>
      <c r="L48" s="3">
        <v>2</v>
      </c>
      <c r="M48" s="3">
        <v>3</v>
      </c>
      <c r="N48" s="3">
        <v>3</v>
      </c>
      <c r="O48" s="3">
        <v>2</v>
      </c>
      <c r="P48" s="3">
        <v>4</v>
      </c>
      <c r="Q48" s="3">
        <v>4</v>
      </c>
      <c r="R48" s="3">
        <v>4</v>
      </c>
      <c r="S48" s="3">
        <v>4</v>
      </c>
      <c r="T48" s="3">
        <v>3</v>
      </c>
      <c r="U48" s="3">
        <v>4</v>
      </c>
      <c r="V48" s="3">
        <v>4</v>
      </c>
      <c r="W48" s="3">
        <v>5</v>
      </c>
      <c r="X48" s="3">
        <v>3</v>
      </c>
      <c r="Y48" s="3">
        <v>9</v>
      </c>
      <c r="Z48" s="4">
        <v>65</v>
      </c>
      <c r="AA48" s="9">
        <v>6</v>
      </c>
      <c r="AB48" s="9">
        <v>796</v>
      </c>
      <c r="AC48" s="5">
        <f t="shared" si="0"/>
        <v>390</v>
      </c>
      <c r="AD48" s="5"/>
      <c r="AE48" s="5"/>
      <c r="AF48" s="5"/>
    </row>
    <row r="49" spans="1:32" ht="15.75" customHeight="1">
      <c r="A49" s="7">
        <v>48</v>
      </c>
      <c r="B49" s="4">
        <v>88</v>
      </c>
      <c r="C49" s="8">
        <v>3</v>
      </c>
      <c r="D49" s="8">
        <v>3</v>
      </c>
      <c r="E49" s="8">
        <v>1</v>
      </c>
      <c r="F49" s="8">
        <v>2</v>
      </c>
      <c r="G49" s="8">
        <v>2</v>
      </c>
      <c r="H49" s="8">
        <v>0</v>
      </c>
      <c r="I49" s="8">
        <v>3</v>
      </c>
      <c r="J49" s="3">
        <v>5</v>
      </c>
      <c r="K49" s="3">
        <v>5</v>
      </c>
      <c r="L49" s="3">
        <v>3</v>
      </c>
      <c r="M49" s="3">
        <v>3</v>
      </c>
      <c r="N49" s="3">
        <v>2</v>
      </c>
      <c r="O49" s="3">
        <v>3</v>
      </c>
      <c r="P49" s="3">
        <v>4</v>
      </c>
      <c r="Q49" s="3">
        <v>5</v>
      </c>
      <c r="R49" s="3">
        <v>5</v>
      </c>
      <c r="S49" s="3">
        <v>4</v>
      </c>
      <c r="T49" s="3">
        <v>4</v>
      </c>
      <c r="U49" s="3">
        <v>4</v>
      </c>
      <c r="V49" s="3">
        <v>3</v>
      </c>
      <c r="W49" s="3">
        <v>4</v>
      </c>
      <c r="X49" s="3">
        <v>4</v>
      </c>
      <c r="Y49" s="3">
        <v>26</v>
      </c>
      <c r="Z49" s="4">
        <v>390</v>
      </c>
      <c r="AA49" s="9">
        <v>4</v>
      </c>
      <c r="AB49" s="9">
        <v>11023</v>
      </c>
      <c r="AC49" s="5">
        <f t="shared" si="0"/>
        <v>1560</v>
      </c>
      <c r="AD49" s="5"/>
      <c r="AE49" s="5"/>
      <c r="AF49" s="5"/>
    </row>
    <row r="50" spans="1:32" ht="15.75" customHeight="1">
      <c r="A50" s="7">
        <v>49</v>
      </c>
      <c r="B50" s="4">
        <v>90</v>
      </c>
      <c r="C50" s="8">
        <v>2</v>
      </c>
      <c r="D50" s="8">
        <v>2</v>
      </c>
      <c r="E50" s="8">
        <v>1</v>
      </c>
      <c r="F50" s="8">
        <v>2</v>
      </c>
      <c r="G50" s="8">
        <v>2</v>
      </c>
      <c r="H50" s="8">
        <v>0</v>
      </c>
      <c r="I50" s="8">
        <v>2</v>
      </c>
      <c r="J50" s="3">
        <v>4</v>
      </c>
      <c r="K50" s="3">
        <v>4</v>
      </c>
      <c r="L50" s="3">
        <v>2</v>
      </c>
      <c r="M50" s="3">
        <v>3</v>
      </c>
      <c r="N50" s="3">
        <v>4</v>
      </c>
      <c r="O50" s="3">
        <v>3</v>
      </c>
      <c r="P50" s="3">
        <v>2</v>
      </c>
      <c r="Q50" s="3">
        <v>2</v>
      </c>
      <c r="R50" s="3">
        <v>3</v>
      </c>
      <c r="S50" s="3">
        <v>3</v>
      </c>
      <c r="T50" s="3">
        <v>3</v>
      </c>
      <c r="U50" s="3">
        <v>3</v>
      </c>
      <c r="V50" s="3">
        <v>2</v>
      </c>
      <c r="W50" s="3">
        <v>4</v>
      </c>
      <c r="X50" s="3">
        <v>4</v>
      </c>
      <c r="Y50" s="3">
        <v>13</v>
      </c>
      <c r="Z50" s="4">
        <v>193</v>
      </c>
      <c r="AA50" s="9">
        <v>6</v>
      </c>
      <c r="AB50" s="9">
        <v>1755</v>
      </c>
      <c r="AC50" s="5">
        <f t="shared" si="0"/>
        <v>1158</v>
      </c>
      <c r="AD50" s="5"/>
      <c r="AE50" s="5"/>
      <c r="AF50" s="5"/>
    </row>
    <row r="51" spans="1:32" ht="15.75" customHeight="1">
      <c r="A51" s="7">
        <v>50</v>
      </c>
      <c r="B51" s="4">
        <v>91</v>
      </c>
      <c r="C51" s="8">
        <v>1</v>
      </c>
      <c r="D51" s="8">
        <v>2</v>
      </c>
      <c r="E51" s="8">
        <v>1</v>
      </c>
      <c r="F51" s="8">
        <v>2</v>
      </c>
      <c r="G51" s="8">
        <v>2</v>
      </c>
      <c r="H51" s="8">
        <v>1</v>
      </c>
      <c r="I51" s="8">
        <v>4</v>
      </c>
      <c r="J51" s="3">
        <v>4</v>
      </c>
      <c r="K51" s="3">
        <v>3</v>
      </c>
      <c r="L51" s="3">
        <v>2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  <c r="R51" s="3">
        <v>4</v>
      </c>
      <c r="S51" s="3">
        <v>3</v>
      </c>
      <c r="T51" s="3">
        <v>4</v>
      </c>
      <c r="U51" s="3">
        <v>4</v>
      </c>
      <c r="V51" s="3">
        <v>4</v>
      </c>
      <c r="W51" s="3">
        <v>3</v>
      </c>
      <c r="X51" s="3">
        <v>3</v>
      </c>
      <c r="Y51" s="3">
        <v>28</v>
      </c>
      <c r="Z51" s="4">
        <v>1526</v>
      </c>
      <c r="AA51" s="9">
        <v>7</v>
      </c>
      <c r="AB51" s="9">
        <v>5931</v>
      </c>
      <c r="AC51" s="5">
        <f t="shared" si="0"/>
        <v>10682</v>
      </c>
      <c r="AD51" s="5"/>
      <c r="AE51" s="5"/>
      <c r="AF51" s="5"/>
    </row>
    <row r="52" spans="1:32" ht="15.75" customHeight="1">
      <c r="A52" s="7">
        <v>51</v>
      </c>
      <c r="B52" s="4">
        <v>93</v>
      </c>
      <c r="C52" s="8">
        <v>3</v>
      </c>
      <c r="D52" s="8">
        <v>3</v>
      </c>
      <c r="E52" s="8">
        <v>1</v>
      </c>
      <c r="F52" s="8">
        <v>2</v>
      </c>
      <c r="G52" s="8">
        <v>2</v>
      </c>
      <c r="H52" s="8">
        <v>1</v>
      </c>
      <c r="I52" s="8">
        <v>2</v>
      </c>
      <c r="J52" s="3">
        <v>2</v>
      </c>
      <c r="K52" s="3">
        <v>3</v>
      </c>
      <c r="L52" s="3">
        <v>3</v>
      </c>
      <c r="M52" s="3">
        <v>3</v>
      </c>
      <c r="N52" s="3">
        <v>3</v>
      </c>
      <c r="O52" s="3">
        <v>3</v>
      </c>
      <c r="P52" s="3">
        <v>4</v>
      </c>
      <c r="Q52" s="3">
        <v>2</v>
      </c>
      <c r="R52" s="3">
        <v>4</v>
      </c>
      <c r="S52" s="3">
        <v>3</v>
      </c>
      <c r="T52" s="3">
        <v>4</v>
      </c>
      <c r="U52" s="3">
        <v>4</v>
      </c>
      <c r="V52" s="3">
        <v>2</v>
      </c>
      <c r="W52" s="3">
        <v>3</v>
      </c>
      <c r="X52" s="3">
        <v>3</v>
      </c>
      <c r="Y52" s="3">
        <v>13</v>
      </c>
      <c r="Z52" s="4">
        <v>575</v>
      </c>
      <c r="AA52" s="9">
        <v>9</v>
      </c>
      <c r="AB52" s="9">
        <v>4456</v>
      </c>
      <c r="AC52" s="5">
        <f t="shared" si="0"/>
        <v>5175</v>
      </c>
      <c r="AD52" s="5"/>
      <c r="AE52" s="5"/>
      <c r="AF52" s="5"/>
    </row>
    <row r="53" spans="1:32" ht="15.75" customHeight="1">
      <c r="A53" s="7">
        <v>52</v>
      </c>
      <c r="B53" s="4">
        <v>87</v>
      </c>
      <c r="C53" s="8">
        <v>2</v>
      </c>
      <c r="D53" s="8">
        <v>2</v>
      </c>
      <c r="E53" s="8">
        <v>1</v>
      </c>
      <c r="F53" s="8">
        <v>2</v>
      </c>
      <c r="G53" s="8">
        <v>2</v>
      </c>
      <c r="H53" s="8">
        <v>0</v>
      </c>
      <c r="I53" s="8">
        <v>1</v>
      </c>
      <c r="J53" s="3">
        <v>2</v>
      </c>
      <c r="K53" s="3">
        <v>3</v>
      </c>
      <c r="L53" s="3">
        <v>3</v>
      </c>
      <c r="M53" s="3">
        <v>4</v>
      </c>
      <c r="N53" s="3">
        <v>3</v>
      </c>
      <c r="O53" s="3">
        <v>3</v>
      </c>
      <c r="P53" s="3">
        <v>3</v>
      </c>
      <c r="Q53" s="3">
        <v>4</v>
      </c>
      <c r="R53" s="3">
        <v>4</v>
      </c>
      <c r="S53" s="3">
        <v>3</v>
      </c>
      <c r="T53" s="3">
        <v>2</v>
      </c>
      <c r="U53" s="3">
        <v>4</v>
      </c>
      <c r="V53" s="3">
        <v>4</v>
      </c>
      <c r="W53" s="3">
        <v>2</v>
      </c>
      <c r="X53" s="3">
        <v>3</v>
      </c>
      <c r="Y53" s="3">
        <v>13</v>
      </c>
      <c r="Z53" s="4">
        <v>509</v>
      </c>
      <c r="AA53" s="9">
        <v>3</v>
      </c>
      <c r="AB53" s="9">
        <v>3600</v>
      </c>
      <c r="AC53" s="5">
        <f t="shared" si="0"/>
        <v>1527</v>
      </c>
      <c r="AD53" s="5"/>
      <c r="AE53" s="5"/>
      <c r="AF53" s="5"/>
    </row>
    <row r="54" spans="1:32" ht="15.75" customHeight="1">
      <c r="A54" s="7">
        <v>53</v>
      </c>
      <c r="B54" s="4">
        <v>88</v>
      </c>
      <c r="C54" s="8">
        <v>5</v>
      </c>
      <c r="D54" s="8">
        <v>2</v>
      </c>
      <c r="E54" s="8">
        <v>1</v>
      </c>
      <c r="F54" s="8">
        <v>2</v>
      </c>
      <c r="G54" s="8">
        <v>2</v>
      </c>
      <c r="H54" s="8">
        <v>0</v>
      </c>
      <c r="I54" s="8">
        <v>3</v>
      </c>
      <c r="J54" s="3">
        <v>1</v>
      </c>
      <c r="K54" s="3">
        <v>4</v>
      </c>
      <c r="L54" s="3">
        <v>4</v>
      </c>
      <c r="M54" s="3">
        <v>2</v>
      </c>
      <c r="N54" s="3">
        <v>3</v>
      </c>
      <c r="O54" s="3">
        <v>3</v>
      </c>
      <c r="P54" s="3">
        <v>2</v>
      </c>
      <c r="Q54" s="3">
        <v>3</v>
      </c>
      <c r="R54" s="3">
        <v>2</v>
      </c>
      <c r="S54" s="3">
        <v>2</v>
      </c>
      <c r="T54" s="3">
        <v>2</v>
      </c>
      <c r="U54" s="3">
        <v>4</v>
      </c>
      <c r="V54" s="3">
        <v>5</v>
      </c>
      <c r="W54" s="3">
        <v>3</v>
      </c>
      <c r="X54" s="3">
        <v>3</v>
      </c>
      <c r="Y54" s="3">
        <v>12</v>
      </c>
      <c r="Z54" s="4">
        <v>583</v>
      </c>
      <c r="AA54" s="9">
        <v>4</v>
      </c>
      <c r="AB54" s="9">
        <v>4557</v>
      </c>
      <c r="AC54" s="5">
        <f t="shared" si="0"/>
        <v>2332</v>
      </c>
      <c r="AD54" s="5"/>
      <c r="AE54" s="5"/>
      <c r="AF54" s="5"/>
    </row>
    <row r="55" spans="1:32" ht="15.75" customHeight="1">
      <c r="A55" s="7">
        <v>54</v>
      </c>
      <c r="B55" s="4">
        <v>88</v>
      </c>
      <c r="C55" s="8">
        <v>3</v>
      </c>
      <c r="D55" s="8">
        <v>2</v>
      </c>
      <c r="E55" s="8">
        <v>1</v>
      </c>
      <c r="F55" s="8">
        <v>2</v>
      </c>
      <c r="G55" s="8">
        <v>2</v>
      </c>
      <c r="H55" s="8">
        <v>0</v>
      </c>
      <c r="I55" s="8">
        <v>2</v>
      </c>
      <c r="J55" s="3">
        <v>4</v>
      </c>
      <c r="K55" s="3">
        <v>3</v>
      </c>
      <c r="L55" s="3">
        <v>5</v>
      </c>
      <c r="M55" s="3">
        <v>3</v>
      </c>
      <c r="N55" s="3">
        <v>3</v>
      </c>
      <c r="O55" s="3">
        <v>3</v>
      </c>
      <c r="P55" s="3">
        <v>4</v>
      </c>
      <c r="Q55" s="3">
        <v>5</v>
      </c>
      <c r="R55" s="3">
        <v>4</v>
      </c>
      <c r="S55" s="3">
        <v>3</v>
      </c>
      <c r="T55" s="3">
        <v>3</v>
      </c>
      <c r="U55" s="3">
        <v>4</v>
      </c>
      <c r="V55" s="3">
        <v>3</v>
      </c>
      <c r="W55" s="3">
        <v>3</v>
      </c>
      <c r="X55" s="3">
        <v>3</v>
      </c>
      <c r="Y55" s="3">
        <v>14</v>
      </c>
      <c r="Z55" s="4">
        <v>315</v>
      </c>
      <c r="AA55" s="9">
        <v>4</v>
      </c>
      <c r="AB55" s="9">
        <v>8752</v>
      </c>
      <c r="AC55" s="5">
        <f t="shared" si="0"/>
        <v>1260</v>
      </c>
      <c r="AD55" s="5"/>
      <c r="AE55" s="5"/>
      <c r="AF55" s="5"/>
    </row>
    <row r="56" spans="1:32" ht="15.75" customHeight="1">
      <c r="A56" s="7">
        <v>55</v>
      </c>
      <c r="B56" s="4">
        <v>89</v>
      </c>
      <c r="C56" s="8">
        <v>3</v>
      </c>
      <c r="D56" s="8">
        <v>2</v>
      </c>
      <c r="E56" s="8">
        <v>1</v>
      </c>
      <c r="F56" s="8">
        <v>2</v>
      </c>
      <c r="G56" s="8">
        <v>2</v>
      </c>
      <c r="H56" s="8">
        <v>0</v>
      </c>
      <c r="I56" s="8">
        <v>2</v>
      </c>
      <c r="J56" s="3">
        <v>3</v>
      </c>
      <c r="K56" s="3">
        <v>4</v>
      </c>
      <c r="L56" s="3">
        <v>5</v>
      </c>
      <c r="M56" s="3">
        <v>3</v>
      </c>
      <c r="N56" s="3">
        <v>3</v>
      </c>
      <c r="O56" s="3">
        <v>3</v>
      </c>
      <c r="P56" s="3">
        <v>3</v>
      </c>
      <c r="Q56" s="3">
        <v>3</v>
      </c>
      <c r="R56" s="3">
        <v>4</v>
      </c>
      <c r="S56" s="3">
        <v>4</v>
      </c>
      <c r="T56" s="3">
        <v>2</v>
      </c>
      <c r="U56" s="3">
        <v>4</v>
      </c>
      <c r="V56" s="3">
        <v>4</v>
      </c>
      <c r="W56" s="3">
        <v>3</v>
      </c>
      <c r="X56" s="3">
        <v>3</v>
      </c>
      <c r="Y56" s="3">
        <v>12</v>
      </c>
      <c r="Z56" s="4">
        <v>138</v>
      </c>
      <c r="AA56" s="9">
        <v>5</v>
      </c>
      <c r="AB56" s="9">
        <v>3440</v>
      </c>
      <c r="AC56" s="5">
        <f t="shared" si="0"/>
        <v>690</v>
      </c>
      <c r="AD56" s="5"/>
      <c r="AE56" s="5"/>
      <c r="AF56" s="5"/>
    </row>
    <row r="57" spans="1:32" ht="15.75" customHeight="1">
      <c r="A57" s="7">
        <v>56</v>
      </c>
      <c r="B57" s="4">
        <v>88</v>
      </c>
      <c r="C57" s="8">
        <v>2</v>
      </c>
      <c r="D57" s="8">
        <v>3</v>
      </c>
      <c r="E57" s="8">
        <v>1</v>
      </c>
      <c r="F57" s="8">
        <v>2</v>
      </c>
      <c r="G57" s="8">
        <v>2</v>
      </c>
      <c r="H57" s="8">
        <v>0</v>
      </c>
      <c r="I57" s="8">
        <v>3</v>
      </c>
      <c r="J57" s="3">
        <v>3</v>
      </c>
      <c r="K57" s="3">
        <v>4</v>
      </c>
      <c r="L57" s="3">
        <v>3</v>
      </c>
      <c r="M57" s="3">
        <v>3</v>
      </c>
      <c r="N57" s="3">
        <v>3</v>
      </c>
      <c r="O57" s="3">
        <v>3</v>
      </c>
      <c r="P57" s="3">
        <v>3</v>
      </c>
      <c r="Q57" s="3">
        <v>4</v>
      </c>
      <c r="R57" s="3">
        <v>4</v>
      </c>
      <c r="S57" s="3">
        <v>4</v>
      </c>
      <c r="T57" s="3">
        <v>4</v>
      </c>
      <c r="U57" s="3">
        <v>4</v>
      </c>
      <c r="V57" s="3">
        <v>4</v>
      </c>
      <c r="W57" s="3">
        <v>4</v>
      </c>
      <c r="X57" s="3">
        <v>3</v>
      </c>
      <c r="Y57" s="3">
        <v>9</v>
      </c>
      <c r="Z57" s="4">
        <v>257</v>
      </c>
      <c r="AA57" s="9">
        <v>4</v>
      </c>
      <c r="AB57" s="9">
        <v>1981</v>
      </c>
      <c r="AC57" s="5">
        <f t="shared" si="0"/>
        <v>1028</v>
      </c>
      <c r="AD57" s="5"/>
      <c r="AE57" s="5"/>
      <c r="AF57" s="5"/>
    </row>
    <row r="58" spans="1:32" ht="15.75" customHeight="1">
      <c r="A58" s="7">
        <v>57</v>
      </c>
      <c r="B58" s="4">
        <v>85</v>
      </c>
      <c r="C58" s="8">
        <v>2</v>
      </c>
      <c r="D58" s="8">
        <v>2</v>
      </c>
      <c r="E58" s="8">
        <v>1</v>
      </c>
      <c r="F58" s="8">
        <v>2</v>
      </c>
      <c r="G58" s="8">
        <v>2</v>
      </c>
      <c r="H58" s="8">
        <v>0</v>
      </c>
      <c r="I58" s="8">
        <v>1</v>
      </c>
      <c r="J58" s="3">
        <v>2</v>
      </c>
      <c r="K58" s="3">
        <v>3</v>
      </c>
      <c r="L58" s="3">
        <v>3</v>
      </c>
      <c r="M58" s="3">
        <v>2</v>
      </c>
      <c r="N58" s="3">
        <v>2</v>
      </c>
      <c r="O58" s="3">
        <v>2</v>
      </c>
      <c r="P58" s="3">
        <v>4</v>
      </c>
      <c r="Q58" s="3">
        <v>5</v>
      </c>
      <c r="R58" s="3">
        <v>4</v>
      </c>
      <c r="S58" s="3">
        <v>3</v>
      </c>
      <c r="T58" s="3">
        <v>3</v>
      </c>
      <c r="U58" s="3">
        <v>4</v>
      </c>
      <c r="V58" s="3">
        <v>4</v>
      </c>
      <c r="W58" s="3">
        <v>2</v>
      </c>
      <c r="X58" s="3">
        <v>3</v>
      </c>
      <c r="Y58" s="3">
        <v>30</v>
      </c>
      <c r="Z58" s="4">
        <v>423</v>
      </c>
      <c r="AA58" s="9">
        <v>1</v>
      </c>
      <c r="AB58" s="9">
        <v>13700</v>
      </c>
      <c r="AC58" s="5">
        <f t="shared" si="0"/>
        <v>423</v>
      </c>
      <c r="AD58" s="5"/>
      <c r="AE58" s="5"/>
      <c r="AF58" s="5"/>
    </row>
    <row r="59" spans="1:32" ht="15.75" customHeight="1">
      <c r="A59" s="7">
        <v>58</v>
      </c>
      <c r="B59" s="4">
        <v>91</v>
      </c>
      <c r="C59" s="8">
        <v>5</v>
      </c>
      <c r="D59" s="8">
        <v>5</v>
      </c>
      <c r="E59" s="8">
        <v>1</v>
      </c>
      <c r="F59" s="8">
        <v>2</v>
      </c>
      <c r="G59" s="8">
        <v>1</v>
      </c>
      <c r="H59" s="8">
        <v>0</v>
      </c>
      <c r="I59" s="8">
        <v>3</v>
      </c>
      <c r="J59" s="3">
        <v>4</v>
      </c>
      <c r="K59" s="3">
        <v>2</v>
      </c>
      <c r="L59" s="3">
        <v>4</v>
      </c>
      <c r="M59" s="3">
        <v>3</v>
      </c>
      <c r="N59" s="3">
        <v>3</v>
      </c>
      <c r="O59" s="3">
        <v>3</v>
      </c>
      <c r="P59" s="3">
        <v>3</v>
      </c>
      <c r="Q59" s="3">
        <v>3</v>
      </c>
      <c r="R59" s="3">
        <v>5</v>
      </c>
      <c r="S59" s="3">
        <v>3</v>
      </c>
      <c r="T59" s="3">
        <v>3</v>
      </c>
      <c r="U59" s="3">
        <v>4</v>
      </c>
      <c r="V59" s="3">
        <v>3</v>
      </c>
      <c r="W59" s="3">
        <v>4</v>
      </c>
      <c r="X59" s="3">
        <v>4</v>
      </c>
      <c r="Y59" s="3">
        <v>20</v>
      </c>
      <c r="Z59" s="4">
        <v>495</v>
      </c>
      <c r="AA59" s="9">
        <v>7</v>
      </c>
      <c r="AB59" s="9">
        <v>7105</v>
      </c>
      <c r="AC59" s="5">
        <f t="shared" si="0"/>
        <v>3465</v>
      </c>
      <c r="AD59" s="5"/>
      <c r="AE59" s="5"/>
      <c r="AF59" s="5"/>
    </row>
    <row r="60" spans="1:32" ht="15.75" customHeight="1">
      <c r="A60" s="7">
        <v>59</v>
      </c>
      <c r="B60" s="4">
        <v>90</v>
      </c>
      <c r="C60" s="8">
        <v>3</v>
      </c>
      <c r="D60" s="8">
        <v>3</v>
      </c>
      <c r="E60" s="8">
        <v>1</v>
      </c>
      <c r="F60" s="8">
        <v>2</v>
      </c>
      <c r="G60" s="8">
        <v>2</v>
      </c>
      <c r="H60" s="8">
        <v>1</v>
      </c>
      <c r="I60" s="8">
        <v>4</v>
      </c>
      <c r="J60" s="3">
        <v>2</v>
      </c>
      <c r="K60" s="3">
        <v>3</v>
      </c>
      <c r="L60" s="3">
        <v>3</v>
      </c>
      <c r="M60" s="3">
        <v>4</v>
      </c>
      <c r="N60" s="3">
        <v>3</v>
      </c>
      <c r="O60" s="3">
        <v>3</v>
      </c>
      <c r="P60" s="3">
        <v>3</v>
      </c>
      <c r="Q60" s="3">
        <v>4</v>
      </c>
      <c r="R60" s="3">
        <v>4</v>
      </c>
      <c r="S60" s="3">
        <v>3</v>
      </c>
      <c r="T60" s="3">
        <v>4</v>
      </c>
      <c r="U60" s="3">
        <v>3</v>
      </c>
      <c r="V60" s="3">
        <v>2</v>
      </c>
      <c r="W60" s="3">
        <v>4</v>
      </c>
      <c r="X60" s="3">
        <v>3</v>
      </c>
      <c r="Y60" s="3">
        <v>16</v>
      </c>
      <c r="Z60" s="4">
        <v>622</v>
      </c>
      <c r="AA60" s="9">
        <v>6</v>
      </c>
      <c r="AB60" s="9">
        <v>6816</v>
      </c>
      <c r="AC60" s="5">
        <f t="shared" si="0"/>
        <v>3732</v>
      </c>
      <c r="AD60" s="5"/>
      <c r="AE60" s="5"/>
      <c r="AF60" s="5"/>
    </row>
    <row r="61" spans="1:32" ht="15.75" customHeight="1">
      <c r="A61" s="7">
        <v>60</v>
      </c>
      <c r="B61" s="4">
        <v>92</v>
      </c>
      <c r="C61" s="8">
        <v>1</v>
      </c>
      <c r="D61" s="8">
        <v>2</v>
      </c>
      <c r="E61" s="8">
        <v>1</v>
      </c>
      <c r="F61" s="8">
        <v>2</v>
      </c>
      <c r="G61" s="8">
        <v>2</v>
      </c>
      <c r="H61" s="8">
        <v>1</v>
      </c>
      <c r="I61" s="8">
        <v>2</v>
      </c>
      <c r="J61" s="3">
        <v>3</v>
      </c>
      <c r="K61" s="3">
        <v>3</v>
      </c>
      <c r="L61" s="3">
        <v>3</v>
      </c>
      <c r="M61" s="3">
        <v>3</v>
      </c>
      <c r="N61" s="3">
        <v>3</v>
      </c>
      <c r="O61" s="3">
        <v>4</v>
      </c>
      <c r="P61" s="3">
        <v>4</v>
      </c>
      <c r="Q61" s="3">
        <v>5</v>
      </c>
      <c r="R61" s="3">
        <v>5</v>
      </c>
      <c r="S61" s="3">
        <v>5</v>
      </c>
      <c r="T61" s="3">
        <v>5</v>
      </c>
      <c r="U61" s="3">
        <v>4</v>
      </c>
      <c r="V61" s="3">
        <v>3</v>
      </c>
      <c r="W61" s="3">
        <v>2</v>
      </c>
      <c r="X61" s="3">
        <v>3</v>
      </c>
      <c r="Y61" s="3">
        <v>12</v>
      </c>
      <c r="Z61" s="4">
        <v>204</v>
      </c>
      <c r="AA61" s="9">
        <v>8</v>
      </c>
      <c r="AB61" s="9">
        <v>4620</v>
      </c>
      <c r="AC61" s="5">
        <f t="shared" si="0"/>
        <v>1632</v>
      </c>
      <c r="AD61" s="5"/>
      <c r="AE61" s="5"/>
      <c r="AF61" s="5"/>
    </row>
    <row r="62" spans="1:32" ht="15.75" customHeight="1">
      <c r="A62" s="7">
        <v>61</v>
      </c>
      <c r="B62" s="4">
        <v>90</v>
      </c>
      <c r="C62" s="8">
        <v>3</v>
      </c>
      <c r="D62" s="8">
        <v>3</v>
      </c>
      <c r="E62" s="8">
        <v>1</v>
      </c>
      <c r="F62" s="8">
        <v>2</v>
      </c>
      <c r="G62" s="8">
        <v>2</v>
      </c>
      <c r="H62" s="8">
        <v>1</v>
      </c>
      <c r="I62" s="8">
        <v>4</v>
      </c>
      <c r="J62" s="3">
        <v>2</v>
      </c>
      <c r="K62" s="3">
        <v>3</v>
      </c>
      <c r="L62" s="3">
        <v>2</v>
      </c>
      <c r="M62" s="3">
        <v>3</v>
      </c>
      <c r="N62" s="3">
        <v>3</v>
      </c>
      <c r="O62" s="3">
        <v>2</v>
      </c>
      <c r="P62" s="3">
        <v>3</v>
      </c>
      <c r="Q62" s="3">
        <v>5</v>
      </c>
      <c r="R62" s="3">
        <v>5</v>
      </c>
      <c r="S62" s="3">
        <v>4</v>
      </c>
      <c r="T62" s="3">
        <v>5</v>
      </c>
      <c r="U62" s="3">
        <v>5</v>
      </c>
      <c r="V62" s="3">
        <v>1</v>
      </c>
      <c r="W62" s="3">
        <v>5</v>
      </c>
      <c r="X62" s="3">
        <v>4</v>
      </c>
      <c r="Y62" s="3">
        <v>15</v>
      </c>
      <c r="Z62" s="4">
        <v>616</v>
      </c>
      <c r="AA62" s="9">
        <v>6</v>
      </c>
      <c r="AB62" s="9">
        <v>7451</v>
      </c>
      <c r="AC62" s="5">
        <f t="shared" si="0"/>
        <v>3696</v>
      </c>
      <c r="AD62" s="5"/>
      <c r="AE62" s="5"/>
      <c r="AF62" s="5"/>
    </row>
    <row r="63" spans="1:32" ht="15.75" customHeight="1">
      <c r="A63" s="7">
        <v>62</v>
      </c>
      <c r="B63" s="4">
        <v>91</v>
      </c>
      <c r="C63" s="8">
        <v>3</v>
      </c>
      <c r="D63" s="8">
        <v>3</v>
      </c>
      <c r="E63" s="8">
        <v>1</v>
      </c>
      <c r="F63" s="8">
        <v>2</v>
      </c>
      <c r="G63" s="8">
        <v>2</v>
      </c>
      <c r="H63" s="8">
        <v>0</v>
      </c>
      <c r="I63" s="8">
        <v>3</v>
      </c>
      <c r="J63" s="3">
        <v>2</v>
      </c>
      <c r="K63" s="3">
        <v>4</v>
      </c>
      <c r="L63" s="3">
        <v>3</v>
      </c>
      <c r="M63" s="3">
        <v>3</v>
      </c>
      <c r="N63" s="3">
        <v>3</v>
      </c>
      <c r="O63" s="3">
        <v>3</v>
      </c>
      <c r="P63" s="3">
        <v>4</v>
      </c>
      <c r="Q63" s="3">
        <v>3</v>
      </c>
      <c r="R63" s="3">
        <v>5</v>
      </c>
      <c r="S63" s="3">
        <v>5</v>
      </c>
      <c r="T63" s="3">
        <v>5</v>
      </c>
      <c r="U63" s="3">
        <v>4</v>
      </c>
      <c r="V63" s="3">
        <v>4</v>
      </c>
      <c r="W63" s="3">
        <v>5</v>
      </c>
      <c r="X63" s="3">
        <v>4</v>
      </c>
      <c r="Y63" s="3">
        <v>33</v>
      </c>
      <c r="Z63" s="4">
        <v>3643</v>
      </c>
      <c r="AA63" s="9">
        <v>7</v>
      </c>
      <c r="AB63" s="9">
        <v>39479</v>
      </c>
      <c r="AC63" s="5">
        <f t="shared" si="0"/>
        <v>25501</v>
      </c>
      <c r="AD63" s="5"/>
      <c r="AE63" s="5"/>
      <c r="AF63" s="5"/>
    </row>
    <row r="64" spans="1:32" ht="15.75" customHeight="1">
      <c r="A64" s="14" t="s">
        <v>41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6">
        <f>AVERAGE(AB2:AB63)</f>
        <v>8223.2096774193542</v>
      </c>
      <c r="AC64" s="5"/>
      <c r="AD64" s="5"/>
      <c r="AE64" s="5"/>
      <c r="AF64" s="5"/>
    </row>
    <row r="65" spans="1:32" ht="15.75" customHeight="1">
      <c r="A65" s="14" t="s">
        <v>42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6">
        <f>STDEV(AB2:AB63)</f>
        <v>10499.903167605173</v>
      </c>
      <c r="AC65" s="5"/>
      <c r="AD65" s="5"/>
      <c r="AE65" s="5"/>
      <c r="AF65" s="5"/>
    </row>
    <row r="66" spans="1:32" ht="15.75" customHeight="1">
      <c r="A66" s="14" t="s">
        <v>43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6">
        <f>MIN(AB2:AB63)</f>
        <v>583</v>
      </c>
      <c r="AC66" s="5"/>
      <c r="AD66" s="5"/>
      <c r="AE66" s="5"/>
      <c r="AF66" s="5"/>
    </row>
    <row r="67" spans="1:32" ht="15.75" customHeight="1">
      <c r="A67" s="17" t="s">
        <v>44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6">
        <f>MAX(AB2:AB63)</f>
        <v>63694</v>
      </c>
      <c r="AC67" s="5"/>
      <c r="AD67" s="5"/>
      <c r="AE67" s="5"/>
      <c r="AF67" s="5"/>
    </row>
    <row r="68" spans="1:32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">
    <mergeCell ref="AD1:AD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>
      <selection sqref="A1:G1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4" ht="15.75" customHeight="1">
      <c r="A1" s="72" t="s">
        <v>45</v>
      </c>
      <c r="B1" s="73"/>
      <c r="C1" s="73"/>
      <c r="D1" s="73"/>
      <c r="E1" s="73"/>
      <c r="F1" s="73"/>
      <c r="G1" s="74"/>
      <c r="I1" s="72" t="s">
        <v>46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4"/>
    </row>
    <row r="2" spans="1:24" ht="15.7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19"/>
    </row>
    <row r="3" spans="1:24" ht="15.75" customHeight="1">
      <c r="A3" s="8">
        <v>2</v>
      </c>
      <c r="B3" s="8">
        <v>2</v>
      </c>
      <c r="C3" s="8">
        <v>1</v>
      </c>
      <c r="D3" s="8">
        <v>2</v>
      </c>
      <c r="E3" s="8">
        <v>2</v>
      </c>
      <c r="F3" s="8">
        <v>0</v>
      </c>
      <c r="G3" s="8">
        <v>3</v>
      </c>
      <c r="I3" s="3">
        <v>4</v>
      </c>
      <c r="J3" s="3">
        <v>3</v>
      </c>
      <c r="K3" s="3">
        <v>5</v>
      </c>
      <c r="L3" s="3">
        <v>3</v>
      </c>
      <c r="M3" s="3">
        <v>3</v>
      </c>
      <c r="N3" s="3">
        <v>3</v>
      </c>
      <c r="O3" s="3">
        <v>4</v>
      </c>
      <c r="P3" s="3">
        <v>5</v>
      </c>
      <c r="Q3" s="3">
        <v>4</v>
      </c>
      <c r="R3" s="3">
        <v>5</v>
      </c>
      <c r="S3" s="3">
        <v>4</v>
      </c>
      <c r="T3" s="3">
        <v>4</v>
      </c>
      <c r="U3" s="3">
        <v>4</v>
      </c>
      <c r="V3" s="3">
        <v>4</v>
      </c>
      <c r="W3" s="3">
        <v>5</v>
      </c>
      <c r="X3" s="20"/>
    </row>
    <row r="4" spans="1:24" ht="15.75" customHeight="1">
      <c r="A4" s="8">
        <v>2</v>
      </c>
      <c r="B4" s="8">
        <v>2</v>
      </c>
      <c r="C4" s="8">
        <v>1</v>
      </c>
      <c r="D4" s="8">
        <v>2</v>
      </c>
      <c r="E4" s="8">
        <v>2</v>
      </c>
      <c r="F4" s="8">
        <v>0</v>
      </c>
      <c r="G4" s="8">
        <v>3</v>
      </c>
      <c r="I4" s="3">
        <v>2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2</v>
      </c>
      <c r="P4" s="3">
        <v>2</v>
      </c>
      <c r="Q4" s="3">
        <v>4</v>
      </c>
      <c r="R4" s="3">
        <v>3</v>
      </c>
      <c r="S4" s="3">
        <v>4</v>
      </c>
      <c r="T4" s="3">
        <v>4</v>
      </c>
      <c r="U4" s="3">
        <v>4</v>
      </c>
      <c r="V4" s="3">
        <v>4</v>
      </c>
      <c r="W4" s="3">
        <v>4</v>
      </c>
      <c r="X4" s="20"/>
    </row>
    <row r="5" spans="1:24" ht="15.75" customHeight="1">
      <c r="A5" s="8">
        <v>1</v>
      </c>
      <c r="B5" s="8">
        <v>2</v>
      </c>
      <c r="C5" s="8">
        <v>1</v>
      </c>
      <c r="D5" s="8">
        <v>2</v>
      </c>
      <c r="E5" s="8">
        <v>2</v>
      </c>
      <c r="F5" s="8">
        <v>0</v>
      </c>
      <c r="G5" s="8">
        <v>2</v>
      </c>
      <c r="I5" s="3">
        <v>3</v>
      </c>
      <c r="J5" s="3">
        <v>3</v>
      </c>
      <c r="K5" s="3">
        <v>2</v>
      </c>
      <c r="L5" s="3">
        <v>3</v>
      </c>
      <c r="M5" s="3">
        <v>3</v>
      </c>
      <c r="N5" s="3">
        <v>4</v>
      </c>
      <c r="O5" s="3">
        <v>2</v>
      </c>
      <c r="P5" s="3">
        <v>3</v>
      </c>
      <c r="Q5" s="3">
        <v>4</v>
      </c>
      <c r="R5" s="3">
        <v>5</v>
      </c>
      <c r="S5" s="3">
        <v>4</v>
      </c>
      <c r="T5" s="3">
        <v>3</v>
      </c>
      <c r="U5" s="3">
        <v>2</v>
      </c>
      <c r="V5" s="3">
        <v>3</v>
      </c>
      <c r="W5" s="3">
        <v>3</v>
      </c>
      <c r="X5" s="20"/>
    </row>
    <row r="6" spans="1:24" ht="15.75" customHeight="1">
      <c r="A6" s="8">
        <v>3</v>
      </c>
      <c r="B6" s="8">
        <v>2</v>
      </c>
      <c r="C6" s="8">
        <v>1</v>
      </c>
      <c r="D6" s="8">
        <v>2</v>
      </c>
      <c r="E6" s="8">
        <v>2</v>
      </c>
      <c r="F6" s="8">
        <v>0</v>
      </c>
      <c r="G6" s="8">
        <v>3</v>
      </c>
      <c r="I6" s="3">
        <v>2</v>
      </c>
      <c r="J6" s="3">
        <v>2</v>
      </c>
      <c r="K6" s="3">
        <v>4</v>
      </c>
      <c r="L6" s="3">
        <v>2</v>
      </c>
      <c r="M6" s="3">
        <v>2</v>
      </c>
      <c r="N6" s="3">
        <v>1</v>
      </c>
      <c r="O6" s="3">
        <v>3</v>
      </c>
      <c r="P6" s="3">
        <v>5</v>
      </c>
      <c r="Q6" s="3">
        <v>4</v>
      </c>
      <c r="R6" s="3">
        <v>4</v>
      </c>
      <c r="S6" s="3">
        <v>5</v>
      </c>
      <c r="T6" s="3">
        <v>4</v>
      </c>
      <c r="U6" s="3">
        <v>3</v>
      </c>
      <c r="V6" s="3">
        <v>2</v>
      </c>
      <c r="W6" s="3">
        <v>3</v>
      </c>
      <c r="X6" s="20"/>
    </row>
    <row r="7" spans="1:24" ht="15.75" customHeight="1">
      <c r="A7" s="8">
        <v>2</v>
      </c>
      <c r="B7" s="8">
        <v>2</v>
      </c>
      <c r="C7" s="8">
        <v>1</v>
      </c>
      <c r="D7" s="8">
        <v>2</v>
      </c>
      <c r="E7" s="8">
        <v>2</v>
      </c>
      <c r="F7" s="8">
        <v>0</v>
      </c>
      <c r="G7" s="8">
        <v>2</v>
      </c>
      <c r="I7" s="3">
        <v>3</v>
      </c>
      <c r="J7" s="3">
        <v>3</v>
      </c>
      <c r="K7" s="3">
        <v>3</v>
      </c>
      <c r="L7" s="3">
        <v>4</v>
      </c>
      <c r="M7" s="3">
        <v>3</v>
      </c>
      <c r="N7" s="3">
        <v>3</v>
      </c>
      <c r="O7" s="3">
        <v>4</v>
      </c>
      <c r="P7" s="3">
        <v>3</v>
      </c>
      <c r="Q7" s="3">
        <v>4</v>
      </c>
      <c r="R7" s="3">
        <v>4</v>
      </c>
      <c r="S7" s="3">
        <v>3</v>
      </c>
      <c r="T7" s="3">
        <v>4</v>
      </c>
      <c r="U7" s="3">
        <v>5</v>
      </c>
      <c r="V7" s="3">
        <v>4</v>
      </c>
      <c r="W7" s="3">
        <v>4</v>
      </c>
      <c r="X7" s="20"/>
    </row>
    <row r="8" spans="1:24" ht="15.75" customHeight="1">
      <c r="A8" s="8">
        <v>2</v>
      </c>
      <c r="B8" s="8">
        <v>3</v>
      </c>
      <c r="C8" s="8">
        <v>1</v>
      </c>
      <c r="D8" s="8">
        <v>2</v>
      </c>
      <c r="E8" s="8">
        <v>2</v>
      </c>
      <c r="F8" s="8">
        <v>1</v>
      </c>
      <c r="G8" s="8">
        <v>4</v>
      </c>
      <c r="I8" s="3">
        <v>2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2</v>
      </c>
      <c r="P8" s="3">
        <v>2</v>
      </c>
      <c r="Q8" s="3">
        <v>4</v>
      </c>
      <c r="R8" s="3">
        <v>4</v>
      </c>
      <c r="S8" s="3">
        <v>4</v>
      </c>
      <c r="T8" s="3">
        <v>4</v>
      </c>
      <c r="U8" s="3">
        <v>4</v>
      </c>
      <c r="V8" s="3">
        <v>5</v>
      </c>
      <c r="W8" s="3">
        <v>4</v>
      </c>
      <c r="X8" s="20"/>
    </row>
    <row r="9" spans="1:24" ht="15.75" customHeight="1">
      <c r="A9" s="8">
        <v>2</v>
      </c>
      <c r="B9" s="8">
        <v>2</v>
      </c>
      <c r="C9" s="8">
        <v>1</v>
      </c>
      <c r="D9" s="8">
        <v>2</v>
      </c>
      <c r="E9" s="8">
        <v>2</v>
      </c>
      <c r="F9" s="8">
        <v>0</v>
      </c>
      <c r="G9" s="8">
        <v>2</v>
      </c>
      <c r="I9" s="3">
        <v>4</v>
      </c>
      <c r="J9" s="3">
        <v>3</v>
      </c>
      <c r="K9" s="3">
        <v>5</v>
      </c>
      <c r="L9" s="3">
        <v>4</v>
      </c>
      <c r="M9" s="3">
        <v>3</v>
      </c>
      <c r="N9" s="3">
        <v>2</v>
      </c>
      <c r="O9" s="3">
        <v>3</v>
      </c>
      <c r="P9" s="3">
        <v>5</v>
      </c>
      <c r="Q9" s="3">
        <v>5</v>
      </c>
      <c r="R9" s="3">
        <v>5</v>
      </c>
      <c r="S9" s="3">
        <v>3</v>
      </c>
      <c r="T9" s="3">
        <v>4</v>
      </c>
      <c r="U9" s="3">
        <v>4</v>
      </c>
      <c r="V9" s="3">
        <v>2</v>
      </c>
      <c r="W9" s="3">
        <v>3</v>
      </c>
      <c r="X9" s="20"/>
    </row>
    <row r="10" spans="1:24" ht="15.75" customHeight="1">
      <c r="A10" s="8">
        <v>2</v>
      </c>
      <c r="B10" s="8">
        <v>2</v>
      </c>
      <c r="C10" s="8">
        <v>1</v>
      </c>
      <c r="D10" s="8">
        <v>2</v>
      </c>
      <c r="E10" s="8">
        <v>2</v>
      </c>
      <c r="F10" s="8">
        <v>0</v>
      </c>
      <c r="G10" s="8">
        <v>1</v>
      </c>
      <c r="I10" s="3">
        <v>2</v>
      </c>
      <c r="J10" s="3">
        <v>3</v>
      </c>
      <c r="K10" s="3">
        <v>3</v>
      </c>
      <c r="L10" s="3">
        <v>2</v>
      </c>
      <c r="M10" s="3">
        <v>2</v>
      </c>
      <c r="N10" s="3">
        <v>2</v>
      </c>
      <c r="O10" s="3">
        <v>4</v>
      </c>
      <c r="P10" s="3">
        <v>5</v>
      </c>
      <c r="Q10" s="3">
        <v>4</v>
      </c>
      <c r="R10" s="3">
        <v>3</v>
      </c>
      <c r="S10" s="3">
        <v>3</v>
      </c>
      <c r="T10" s="3">
        <v>3</v>
      </c>
      <c r="U10" s="3">
        <v>3</v>
      </c>
      <c r="V10" s="3">
        <v>2</v>
      </c>
      <c r="W10" s="3">
        <v>3</v>
      </c>
      <c r="X10" s="20"/>
    </row>
    <row r="11" spans="1:24" ht="15.75" customHeight="1">
      <c r="A11" s="8">
        <v>2</v>
      </c>
      <c r="B11" s="8">
        <v>4</v>
      </c>
      <c r="C11" s="8">
        <v>2</v>
      </c>
      <c r="D11" s="8">
        <v>2</v>
      </c>
      <c r="E11" s="8">
        <v>1</v>
      </c>
      <c r="F11" s="8">
        <v>0</v>
      </c>
      <c r="G11" s="8">
        <v>2</v>
      </c>
      <c r="I11" s="3">
        <v>4</v>
      </c>
      <c r="J11" s="3">
        <v>3</v>
      </c>
      <c r="K11" s="3">
        <v>3</v>
      </c>
      <c r="L11" s="3">
        <v>2</v>
      </c>
      <c r="M11" s="3">
        <v>1</v>
      </c>
      <c r="N11" s="3">
        <v>2</v>
      </c>
      <c r="O11" s="3">
        <v>4</v>
      </c>
      <c r="P11" s="3">
        <v>5</v>
      </c>
      <c r="Q11" s="3">
        <v>3</v>
      </c>
      <c r="R11" s="3">
        <v>2</v>
      </c>
      <c r="S11" s="3">
        <v>2</v>
      </c>
      <c r="T11" s="3">
        <v>2</v>
      </c>
      <c r="U11" s="3">
        <v>3</v>
      </c>
      <c r="V11" s="3">
        <v>4</v>
      </c>
      <c r="W11" s="3">
        <v>2</v>
      </c>
      <c r="X11" s="20"/>
    </row>
    <row r="12" spans="1:24" ht="15.75" customHeight="1">
      <c r="A12" s="8">
        <v>1</v>
      </c>
      <c r="B12" s="8">
        <v>2</v>
      </c>
      <c r="C12" s="8">
        <v>1</v>
      </c>
      <c r="D12" s="8">
        <v>2</v>
      </c>
      <c r="E12" s="8">
        <v>2</v>
      </c>
      <c r="F12" s="8">
        <v>0</v>
      </c>
      <c r="G12" s="8">
        <v>2</v>
      </c>
      <c r="I12" s="3">
        <v>2</v>
      </c>
      <c r="J12" s="3">
        <v>3</v>
      </c>
      <c r="K12" s="3">
        <v>2</v>
      </c>
      <c r="L12" s="3">
        <v>3</v>
      </c>
      <c r="M12" s="3">
        <v>3</v>
      </c>
      <c r="N12" s="3">
        <v>3</v>
      </c>
      <c r="O12" s="3">
        <v>2</v>
      </c>
      <c r="P12" s="3">
        <v>5</v>
      </c>
      <c r="Q12" s="3">
        <v>3</v>
      </c>
      <c r="R12" s="3">
        <v>4</v>
      </c>
      <c r="S12" s="3">
        <v>2</v>
      </c>
      <c r="T12" s="3">
        <v>3</v>
      </c>
      <c r="U12" s="3">
        <v>2</v>
      </c>
      <c r="V12" s="3">
        <v>3</v>
      </c>
      <c r="W12" s="3">
        <v>3</v>
      </c>
      <c r="X12" s="20"/>
    </row>
    <row r="13" spans="1:24" ht="15.75" customHeight="1">
      <c r="A13" s="8">
        <v>2</v>
      </c>
      <c r="B13" s="8">
        <v>5</v>
      </c>
      <c r="C13" s="8">
        <v>1</v>
      </c>
      <c r="D13" s="8">
        <v>2</v>
      </c>
      <c r="E13" s="8">
        <v>1</v>
      </c>
      <c r="F13" s="8">
        <v>0</v>
      </c>
      <c r="G13" s="8">
        <v>1</v>
      </c>
      <c r="I13" s="3">
        <v>5</v>
      </c>
      <c r="J13" s="3">
        <v>3</v>
      </c>
      <c r="K13" s="3">
        <v>4</v>
      </c>
      <c r="L13" s="3">
        <v>2</v>
      </c>
      <c r="M13" s="3">
        <v>3</v>
      </c>
      <c r="N13" s="3">
        <v>1</v>
      </c>
      <c r="O13" s="3">
        <v>3</v>
      </c>
      <c r="P13" s="3">
        <v>3</v>
      </c>
      <c r="Q13" s="3">
        <v>3</v>
      </c>
      <c r="R13" s="3">
        <v>2</v>
      </c>
      <c r="S13" s="3">
        <v>2</v>
      </c>
      <c r="T13" s="3">
        <v>2</v>
      </c>
      <c r="U13" s="3">
        <v>1</v>
      </c>
      <c r="V13" s="3">
        <v>1</v>
      </c>
      <c r="W13" s="3">
        <v>2</v>
      </c>
      <c r="X13" s="20"/>
    </row>
    <row r="14" spans="1:24" ht="15.75" customHeight="1">
      <c r="A14" s="8">
        <v>3</v>
      </c>
      <c r="B14" s="8">
        <v>1</v>
      </c>
      <c r="C14" s="8">
        <v>0</v>
      </c>
      <c r="D14" s="8">
        <v>2</v>
      </c>
      <c r="E14" s="8">
        <v>2</v>
      </c>
      <c r="F14" s="8">
        <v>0</v>
      </c>
      <c r="G14" s="8">
        <v>2</v>
      </c>
      <c r="I14" s="3">
        <v>2</v>
      </c>
      <c r="J14" s="3">
        <v>2</v>
      </c>
      <c r="K14" s="3">
        <v>2</v>
      </c>
      <c r="L14" s="3">
        <v>4</v>
      </c>
      <c r="M14" s="3">
        <v>3</v>
      </c>
      <c r="N14" s="3">
        <v>3</v>
      </c>
      <c r="O14" s="3">
        <v>1</v>
      </c>
      <c r="P14" s="3">
        <v>4</v>
      </c>
      <c r="Q14" s="3">
        <v>4</v>
      </c>
      <c r="R14" s="3">
        <v>3</v>
      </c>
      <c r="S14" s="3">
        <v>4</v>
      </c>
      <c r="T14" s="3">
        <v>4</v>
      </c>
      <c r="U14" s="3">
        <v>1</v>
      </c>
      <c r="V14" s="3">
        <v>5</v>
      </c>
      <c r="W14" s="3">
        <v>1</v>
      </c>
      <c r="X14" s="20"/>
    </row>
    <row r="15" spans="1:24" ht="15.75" customHeight="1">
      <c r="A15" s="8">
        <v>3</v>
      </c>
      <c r="B15" s="8">
        <v>5</v>
      </c>
      <c r="C15" s="8">
        <v>0</v>
      </c>
      <c r="D15" s="8">
        <v>2</v>
      </c>
      <c r="E15" s="8">
        <v>2</v>
      </c>
      <c r="F15" s="8">
        <v>0</v>
      </c>
      <c r="G15" s="8">
        <v>3</v>
      </c>
      <c r="I15" s="3">
        <v>2</v>
      </c>
      <c r="J15" s="3">
        <v>3</v>
      </c>
      <c r="K15" s="3">
        <v>3</v>
      </c>
      <c r="L15" s="3">
        <v>4</v>
      </c>
      <c r="M15" s="3">
        <v>2</v>
      </c>
      <c r="N15" s="3">
        <v>2</v>
      </c>
      <c r="O15" s="3">
        <v>2</v>
      </c>
      <c r="P15" s="3">
        <v>4</v>
      </c>
      <c r="Q15" s="3">
        <v>4</v>
      </c>
      <c r="R15" s="3">
        <v>3</v>
      </c>
      <c r="S15" s="3">
        <v>5</v>
      </c>
      <c r="T15" s="3">
        <v>3</v>
      </c>
      <c r="U15" s="3">
        <v>3</v>
      </c>
      <c r="V15" s="3">
        <v>4</v>
      </c>
      <c r="W15" s="3">
        <v>2</v>
      </c>
      <c r="X15" s="20"/>
    </row>
    <row r="16" spans="1:24" ht="15.75" customHeight="1">
      <c r="A16" s="8">
        <v>1</v>
      </c>
      <c r="B16" s="8">
        <v>2</v>
      </c>
      <c r="C16" s="8">
        <v>1</v>
      </c>
      <c r="D16" s="8">
        <v>2</v>
      </c>
      <c r="E16" s="8">
        <v>2</v>
      </c>
      <c r="F16" s="8">
        <v>0</v>
      </c>
      <c r="G16" s="8">
        <v>2</v>
      </c>
      <c r="I16" s="3">
        <v>2</v>
      </c>
      <c r="J16" s="3">
        <v>3</v>
      </c>
      <c r="K16" s="3">
        <v>2</v>
      </c>
      <c r="L16" s="3">
        <v>4</v>
      </c>
      <c r="M16" s="3">
        <v>3</v>
      </c>
      <c r="N16" s="3">
        <v>3</v>
      </c>
      <c r="O16" s="3">
        <v>3</v>
      </c>
      <c r="P16" s="3">
        <v>5</v>
      </c>
      <c r="Q16" s="3">
        <v>4</v>
      </c>
      <c r="R16" s="3">
        <v>3</v>
      </c>
      <c r="S16" s="3">
        <v>3</v>
      </c>
      <c r="T16" s="3">
        <v>4</v>
      </c>
      <c r="U16" s="3">
        <v>2</v>
      </c>
      <c r="V16" s="3">
        <v>4</v>
      </c>
      <c r="W16" s="3">
        <v>3</v>
      </c>
      <c r="X16" s="20"/>
    </row>
    <row r="17" spans="1:24" ht="15.75" customHeight="1">
      <c r="A17" s="8">
        <v>2</v>
      </c>
      <c r="B17" s="8">
        <v>2</v>
      </c>
      <c r="C17" s="8">
        <v>1</v>
      </c>
      <c r="D17" s="8">
        <v>2</v>
      </c>
      <c r="E17" s="8">
        <v>2</v>
      </c>
      <c r="F17" s="8">
        <v>0</v>
      </c>
      <c r="G17" s="8">
        <v>2</v>
      </c>
      <c r="I17" s="3">
        <v>3</v>
      </c>
      <c r="J17" s="3">
        <v>4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5</v>
      </c>
      <c r="R17" s="3">
        <v>5</v>
      </c>
      <c r="S17" s="3">
        <v>2</v>
      </c>
      <c r="T17" s="3">
        <v>4</v>
      </c>
      <c r="U17" s="3">
        <v>3</v>
      </c>
      <c r="V17" s="3">
        <v>3</v>
      </c>
      <c r="W17" s="3">
        <v>3</v>
      </c>
      <c r="X17" s="20"/>
    </row>
    <row r="18" spans="1:24" ht="15.75" customHeight="1">
      <c r="A18" s="8">
        <v>2</v>
      </c>
      <c r="B18" s="8">
        <v>2</v>
      </c>
      <c r="C18" s="8">
        <v>1</v>
      </c>
      <c r="D18" s="8">
        <v>2</v>
      </c>
      <c r="E18" s="8">
        <v>2</v>
      </c>
      <c r="F18" s="8">
        <v>0</v>
      </c>
      <c r="G18" s="8">
        <v>1</v>
      </c>
      <c r="I18" s="3">
        <v>2</v>
      </c>
      <c r="J18" s="3">
        <v>3</v>
      </c>
      <c r="K18" s="3">
        <v>2</v>
      </c>
      <c r="L18" s="3">
        <v>4</v>
      </c>
      <c r="M18" s="3">
        <v>3</v>
      </c>
      <c r="N18" s="3">
        <v>3</v>
      </c>
      <c r="O18" s="3">
        <v>4</v>
      </c>
      <c r="P18" s="3">
        <v>4</v>
      </c>
      <c r="Q18" s="3">
        <v>4</v>
      </c>
      <c r="R18" s="3">
        <v>3</v>
      </c>
      <c r="S18" s="3">
        <v>2</v>
      </c>
      <c r="T18" s="3">
        <v>4</v>
      </c>
      <c r="U18" s="3">
        <v>3</v>
      </c>
      <c r="V18" s="3">
        <v>3</v>
      </c>
      <c r="W18" s="3">
        <v>3</v>
      </c>
      <c r="X18" s="20"/>
    </row>
    <row r="19" spans="1:24" ht="15.75" customHeight="1">
      <c r="A19" s="8">
        <v>2</v>
      </c>
      <c r="B19" s="8">
        <v>2</v>
      </c>
      <c r="C19" s="8">
        <v>1</v>
      </c>
      <c r="D19" s="8">
        <v>2</v>
      </c>
      <c r="E19" s="8">
        <v>2</v>
      </c>
      <c r="F19" s="8">
        <v>1</v>
      </c>
      <c r="G19" s="8">
        <v>4</v>
      </c>
      <c r="I19" s="3">
        <v>4</v>
      </c>
      <c r="J19" s="3">
        <v>1</v>
      </c>
      <c r="K19" s="3">
        <v>3</v>
      </c>
      <c r="L19" s="3">
        <v>3</v>
      </c>
      <c r="M19" s="3">
        <v>3</v>
      </c>
      <c r="N19" s="3">
        <v>4</v>
      </c>
      <c r="O19" s="3">
        <v>4</v>
      </c>
      <c r="P19" s="3">
        <v>5</v>
      </c>
      <c r="Q19" s="3">
        <v>4</v>
      </c>
      <c r="R19" s="3">
        <v>4</v>
      </c>
      <c r="S19" s="3">
        <v>4</v>
      </c>
      <c r="T19" s="3">
        <v>4</v>
      </c>
      <c r="U19" s="3">
        <v>3</v>
      </c>
      <c r="V19" s="3">
        <v>3</v>
      </c>
      <c r="W19" s="3">
        <v>4</v>
      </c>
      <c r="X19" s="20"/>
    </row>
    <row r="20" spans="1:24" ht="15.75" customHeight="1">
      <c r="A20" s="8">
        <v>2</v>
      </c>
      <c r="B20" s="8">
        <v>2</v>
      </c>
      <c r="C20" s="8">
        <v>1</v>
      </c>
      <c r="D20" s="8">
        <v>2</v>
      </c>
      <c r="E20" s="8">
        <v>2</v>
      </c>
      <c r="F20" s="8">
        <v>1</v>
      </c>
      <c r="G20" s="8">
        <v>4</v>
      </c>
      <c r="I20" s="3">
        <v>4</v>
      </c>
      <c r="J20" s="3">
        <v>3</v>
      </c>
      <c r="K20" s="3">
        <v>4</v>
      </c>
      <c r="L20" s="3">
        <v>3</v>
      </c>
      <c r="M20" s="3">
        <v>4</v>
      </c>
      <c r="N20" s="3">
        <v>4</v>
      </c>
      <c r="O20" s="3">
        <v>5</v>
      </c>
      <c r="P20" s="3">
        <v>4</v>
      </c>
      <c r="Q20" s="3">
        <v>5</v>
      </c>
      <c r="R20" s="3">
        <v>4</v>
      </c>
      <c r="S20" s="3">
        <v>5</v>
      </c>
      <c r="T20" s="3">
        <v>5</v>
      </c>
      <c r="U20" s="3">
        <v>3</v>
      </c>
      <c r="V20" s="3">
        <v>1</v>
      </c>
      <c r="W20" s="3">
        <v>4</v>
      </c>
      <c r="X20" s="20"/>
    </row>
    <row r="21" spans="1:24" ht="15.75" customHeight="1">
      <c r="A21" s="8">
        <v>3</v>
      </c>
      <c r="B21" s="8">
        <v>3</v>
      </c>
      <c r="C21" s="8">
        <v>1</v>
      </c>
      <c r="D21" s="8">
        <v>2</v>
      </c>
      <c r="E21" s="8">
        <v>2</v>
      </c>
      <c r="F21" s="8">
        <v>0</v>
      </c>
      <c r="G21" s="8">
        <v>4</v>
      </c>
      <c r="I21" s="3">
        <v>3</v>
      </c>
      <c r="J21" s="3">
        <v>2</v>
      </c>
      <c r="K21" s="3">
        <v>3</v>
      </c>
      <c r="L21" s="3">
        <v>3</v>
      </c>
      <c r="M21" s="3">
        <v>3</v>
      </c>
      <c r="N21" s="3">
        <v>2</v>
      </c>
      <c r="O21" s="3">
        <v>4</v>
      </c>
      <c r="P21" s="3">
        <v>5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2</v>
      </c>
      <c r="W21" s="3">
        <v>3</v>
      </c>
      <c r="X21" s="20"/>
    </row>
    <row r="22" spans="1:24" ht="15.75" customHeight="1">
      <c r="A22" s="8">
        <v>2</v>
      </c>
      <c r="B22" s="8">
        <v>2</v>
      </c>
      <c r="C22" s="8">
        <v>1</v>
      </c>
      <c r="D22" s="8">
        <v>2</v>
      </c>
      <c r="E22" s="8">
        <v>2</v>
      </c>
      <c r="F22" s="8">
        <v>0</v>
      </c>
      <c r="G22" s="8">
        <v>3</v>
      </c>
      <c r="I22" s="3">
        <v>4</v>
      </c>
      <c r="J22" s="3">
        <v>3</v>
      </c>
      <c r="K22" s="3">
        <v>4</v>
      </c>
      <c r="L22" s="3">
        <v>4</v>
      </c>
      <c r="M22" s="3">
        <v>4</v>
      </c>
      <c r="N22" s="3">
        <v>2</v>
      </c>
      <c r="O22" s="3">
        <v>3</v>
      </c>
      <c r="P22" s="3">
        <v>4</v>
      </c>
      <c r="Q22" s="3">
        <v>5</v>
      </c>
      <c r="R22" s="3">
        <v>5</v>
      </c>
      <c r="S22" s="3">
        <v>3</v>
      </c>
      <c r="T22" s="3">
        <v>4</v>
      </c>
      <c r="U22" s="3">
        <v>4</v>
      </c>
      <c r="V22" s="3">
        <v>2</v>
      </c>
      <c r="W22" s="3">
        <v>3</v>
      </c>
      <c r="X22" s="20"/>
    </row>
    <row r="23" spans="1:24" ht="15.75" customHeight="1">
      <c r="A23" s="8">
        <v>3</v>
      </c>
      <c r="B23" s="8">
        <v>3</v>
      </c>
      <c r="C23" s="8">
        <v>1</v>
      </c>
      <c r="D23" s="8">
        <v>2</v>
      </c>
      <c r="E23" s="8">
        <v>2</v>
      </c>
      <c r="F23" s="8">
        <v>0</v>
      </c>
      <c r="G23" s="8">
        <v>4</v>
      </c>
      <c r="I23" s="3">
        <v>4</v>
      </c>
      <c r="J23" s="3">
        <v>4</v>
      </c>
      <c r="K23" s="3">
        <v>2</v>
      </c>
      <c r="L23" s="3">
        <v>3</v>
      </c>
      <c r="M23" s="3">
        <v>3</v>
      </c>
      <c r="N23" s="3">
        <v>3</v>
      </c>
      <c r="O23" s="3">
        <v>4</v>
      </c>
      <c r="P23" s="3">
        <v>3</v>
      </c>
      <c r="Q23" s="3">
        <v>4</v>
      </c>
      <c r="R23" s="3">
        <v>4</v>
      </c>
      <c r="S23" s="3">
        <v>5</v>
      </c>
      <c r="T23" s="3">
        <v>3</v>
      </c>
      <c r="U23" s="3">
        <v>2</v>
      </c>
      <c r="V23" s="3">
        <v>3</v>
      </c>
      <c r="W23" s="3">
        <v>3</v>
      </c>
      <c r="X23" s="20"/>
    </row>
    <row r="24" spans="1:24" ht="15.75" customHeight="1">
      <c r="A24" s="8">
        <v>2</v>
      </c>
      <c r="B24" s="8">
        <v>3</v>
      </c>
      <c r="C24" s="8">
        <v>1</v>
      </c>
      <c r="D24" s="8">
        <v>2</v>
      </c>
      <c r="E24" s="8">
        <v>2</v>
      </c>
      <c r="F24" s="8">
        <v>0</v>
      </c>
      <c r="G24" s="8">
        <v>1</v>
      </c>
      <c r="I24" s="3">
        <v>4</v>
      </c>
      <c r="J24" s="3">
        <v>3</v>
      </c>
      <c r="K24" s="3">
        <v>2</v>
      </c>
      <c r="L24" s="3">
        <v>4</v>
      </c>
      <c r="M24" s="3">
        <v>3</v>
      </c>
      <c r="N24" s="3">
        <v>3</v>
      </c>
      <c r="O24" s="3">
        <v>4</v>
      </c>
      <c r="P24" s="3">
        <v>4</v>
      </c>
      <c r="Q24" s="3">
        <v>5</v>
      </c>
      <c r="R24" s="3">
        <v>4</v>
      </c>
      <c r="S24" s="3">
        <v>3</v>
      </c>
      <c r="T24" s="3">
        <v>4</v>
      </c>
      <c r="U24" s="3">
        <v>2</v>
      </c>
      <c r="V24" s="3">
        <v>4</v>
      </c>
      <c r="W24" s="3">
        <v>3</v>
      </c>
      <c r="X24" s="20"/>
    </row>
    <row r="25" spans="1:24" ht="15.75" customHeight="1">
      <c r="A25" s="8">
        <v>2</v>
      </c>
      <c r="B25" s="8">
        <v>5</v>
      </c>
      <c r="C25" s="8">
        <v>1</v>
      </c>
      <c r="D25" s="8">
        <v>2</v>
      </c>
      <c r="E25" s="8">
        <v>1</v>
      </c>
      <c r="F25" s="8">
        <v>0</v>
      </c>
      <c r="G25" s="8">
        <v>1</v>
      </c>
      <c r="I25" s="3">
        <v>4</v>
      </c>
      <c r="J25" s="3">
        <v>3</v>
      </c>
      <c r="K25" s="3">
        <v>2</v>
      </c>
      <c r="L25" s="3">
        <v>3</v>
      </c>
      <c r="M25" s="3">
        <v>2</v>
      </c>
      <c r="N25" s="3">
        <v>3</v>
      </c>
      <c r="O25" s="3">
        <v>2</v>
      </c>
      <c r="P25" s="3">
        <v>4</v>
      </c>
      <c r="Q25" s="3">
        <v>4</v>
      </c>
      <c r="R25" s="3">
        <v>4</v>
      </c>
      <c r="S25" s="3">
        <v>2</v>
      </c>
      <c r="T25" s="3">
        <v>2</v>
      </c>
      <c r="U25" s="3">
        <v>3</v>
      </c>
      <c r="V25" s="3">
        <v>3</v>
      </c>
      <c r="W25" s="3">
        <v>3</v>
      </c>
      <c r="X25" s="20"/>
    </row>
    <row r="26" spans="1:24" ht="15.75" customHeight="1">
      <c r="A26" s="8">
        <v>2</v>
      </c>
      <c r="B26" s="8">
        <v>2</v>
      </c>
      <c r="C26" s="8">
        <v>1</v>
      </c>
      <c r="D26" s="8">
        <v>2</v>
      </c>
      <c r="E26" s="8">
        <v>2</v>
      </c>
      <c r="F26" s="8">
        <v>1</v>
      </c>
      <c r="G26" s="8">
        <v>4</v>
      </c>
      <c r="I26" s="3">
        <v>2</v>
      </c>
      <c r="J26" s="3">
        <v>2</v>
      </c>
      <c r="K26" s="3">
        <v>2</v>
      </c>
      <c r="L26" s="3">
        <v>4</v>
      </c>
      <c r="M26" s="3">
        <v>3</v>
      </c>
      <c r="N26" s="3">
        <v>3</v>
      </c>
      <c r="O26" s="3">
        <v>4</v>
      </c>
      <c r="P26" s="3">
        <v>4</v>
      </c>
      <c r="Q26" s="3">
        <v>5</v>
      </c>
      <c r="R26" s="3">
        <v>5</v>
      </c>
      <c r="S26" s="3">
        <v>5</v>
      </c>
      <c r="T26" s="3">
        <v>4</v>
      </c>
      <c r="U26" s="3">
        <v>2</v>
      </c>
      <c r="V26" s="3">
        <v>2</v>
      </c>
      <c r="W26" s="3">
        <v>4</v>
      </c>
      <c r="X26" s="20"/>
    </row>
    <row r="27" spans="1:24" ht="15.75" customHeight="1">
      <c r="A27" s="8">
        <v>2</v>
      </c>
      <c r="B27" s="8">
        <v>2</v>
      </c>
      <c r="C27" s="8">
        <v>1</v>
      </c>
      <c r="D27" s="8">
        <v>2</v>
      </c>
      <c r="E27" s="8">
        <v>2</v>
      </c>
      <c r="F27" s="8">
        <v>1</v>
      </c>
      <c r="G27" s="8">
        <v>3</v>
      </c>
      <c r="I27" s="3">
        <v>4</v>
      </c>
      <c r="J27" s="3">
        <v>3</v>
      </c>
      <c r="K27" s="3">
        <v>4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4</v>
      </c>
      <c r="R27" s="3">
        <v>4</v>
      </c>
      <c r="S27" s="3">
        <v>3</v>
      </c>
      <c r="T27" s="3">
        <v>3</v>
      </c>
      <c r="U27" s="3">
        <v>2</v>
      </c>
      <c r="V27" s="3">
        <v>3</v>
      </c>
      <c r="W27" s="3">
        <v>3</v>
      </c>
      <c r="X27" s="20"/>
    </row>
    <row r="28" spans="1:24" ht="15.75" customHeight="1">
      <c r="A28" s="8">
        <v>2</v>
      </c>
      <c r="B28" s="8">
        <v>2</v>
      </c>
      <c r="C28" s="8">
        <v>1</v>
      </c>
      <c r="D28" s="8">
        <v>2</v>
      </c>
      <c r="E28" s="8">
        <v>2</v>
      </c>
      <c r="F28" s="8">
        <v>0</v>
      </c>
      <c r="G28" s="8">
        <v>3</v>
      </c>
      <c r="I28" s="3">
        <v>4</v>
      </c>
      <c r="J28" s="3">
        <v>3</v>
      </c>
      <c r="K28" s="3">
        <v>3</v>
      </c>
      <c r="L28" s="3">
        <v>4</v>
      </c>
      <c r="M28" s="3">
        <v>3</v>
      </c>
      <c r="N28" s="3">
        <v>3</v>
      </c>
      <c r="O28" s="3">
        <v>4</v>
      </c>
      <c r="P28" s="3">
        <v>5</v>
      </c>
      <c r="Q28" s="3">
        <v>4</v>
      </c>
      <c r="R28" s="3">
        <v>4</v>
      </c>
      <c r="S28" s="3">
        <v>4</v>
      </c>
      <c r="T28" s="3">
        <v>4</v>
      </c>
      <c r="U28" s="3">
        <v>4</v>
      </c>
      <c r="V28" s="3">
        <v>2</v>
      </c>
      <c r="W28" s="3">
        <v>4</v>
      </c>
      <c r="X28" s="20"/>
    </row>
    <row r="29" spans="1:24" ht="15.75" customHeight="1">
      <c r="A29" s="8">
        <v>3</v>
      </c>
      <c r="B29" s="8">
        <v>2</v>
      </c>
      <c r="C29" s="8">
        <v>1</v>
      </c>
      <c r="D29" s="8">
        <v>2</v>
      </c>
      <c r="E29" s="8">
        <v>2</v>
      </c>
      <c r="F29" s="8">
        <v>1</v>
      </c>
      <c r="G29" s="8">
        <v>2</v>
      </c>
      <c r="I29" s="3">
        <v>3</v>
      </c>
      <c r="J29" s="3">
        <v>3</v>
      </c>
      <c r="K29" s="3">
        <v>3</v>
      </c>
      <c r="L29" s="3">
        <v>4</v>
      </c>
      <c r="M29" s="3">
        <v>3</v>
      </c>
      <c r="N29" s="3">
        <v>4</v>
      </c>
      <c r="O29" s="3">
        <v>2</v>
      </c>
      <c r="P29" s="3">
        <v>4</v>
      </c>
      <c r="Q29" s="3">
        <v>4</v>
      </c>
      <c r="R29" s="3">
        <v>3</v>
      </c>
      <c r="S29" s="3">
        <v>2</v>
      </c>
      <c r="T29" s="3">
        <v>4</v>
      </c>
      <c r="U29" s="3">
        <v>4</v>
      </c>
      <c r="V29" s="3">
        <v>2</v>
      </c>
      <c r="W29" s="3">
        <v>4</v>
      </c>
      <c r="X29" s="20"/>
    </row>
    <row r="30" spans="1:24" ht="15.75" customHeight="1">
      <c r="A30" s="8">
        <v>4</v>
      </c>
      <c r="B30" s="8">
        <v>3</v>
      </c>
      <c r="C30" s="8">
        <v>1</v>
      </c>
      <c r="D30" s="8">
        <v>2</v>
      </c>
      <c r="E30" s="8">
        <v>2</v>
      </c>
      <c r="F30" s="8">
        <v>1</v>
      </c>
      <c r="G30" s="8">
        <v>3</v>
      </c>
      <c r="I30" s="3">
        <v>1</v>
      </c>
      <c r="J30" s="3">
        <v>4</v>
      </c>
      <c r="K30" s="3">
        <v>2</v>
      </c>
      <c r="L30" s="3">
        <v>3</v>
      </c>
      <c r="M30" s="3">
        <v>3</v>
      </c>
      <c r="N30" s="3">
        <v>4</v>
      </c>
      <c r="O30" s="3">
        <v>2</v>
      </c>
      <c r="P30" s="3">
        <v>3</v>
      </c>
      <c r="Q30" s="3">
        <v>2</v>
      </c>
      <c r="R30" s="3">
        <v>3</v>
      </c>
      <c r="S30" s="3">
        <v>2</v>
      </c>
      <c r="T30" s="3">
        <v>4</v>
      </c>
      <c r="U30" s="3">
        <v>2</v>
      </c>
      <c r="V30" s="3">
        <v>4</v>
      </c>
      <c r="W30" s="3">
        <v>3</v>
      </c>
      <c r="X30" s="20"/>
    </row>
    <row r="31" spans="1:24" ht="15.75" customHeight="1">
      <c r="A31" s="8">
        <v>1</v>
      </c>
      <c r="B31" s="8">
        <v>2</v>
      </c>
      <c r="C31" s="8">
        <v>1</v>
      </c>
      <c r="D31" s="8">
        <v>2</v>
      </c>
      <c r="E31" s="8">
        <v>2</v>
      </c>
      <c r="F31" s="8">
        <v>0</v>
      </c>
      <c r="G31" s="8">
        <v>4</v>
      </c>
      <c r="I31" s="3">
        <v>3</v>
      </c>
      <c r="J31" s="3">
        <v>4</v>
      </c>
      <c r="K31" s="3">
        <v>2</v>
      </c>
      <c r="L31" s="3">
        <v>3</v>
      </c>
      <c r="M31" s="3">
        <v>3</v>
      </c>
      <c r="N31" s="3">
        <v>4</v>
      </c>
      <c r="O31" s="3">
        <v>3</v>
      </c>
      <c r="P31" s="3">
        <v>5</v>
      </c>
      <c r="Q31" s="3">
        <v>3</v>
      </c>
      <c r="R31" s="3">
        <v>3</v>
      </c>
      <c r="S31" s="3">
        <v>3</v>
      </c>
      <c r="T31" s="3">
        <v>4</v>
      </c>
      <c r="U31" s="3">
        <v>4</v>
      </c>
      <c r="V31" s="3">
        <v>5</v>
      </c>
      <c r="W31" s="3">
        <v>3</v>
      </c>
      <c r="X31" s="20"/>
    </row>
    <row r="32" spans="1:24" ht="15.75" customHeight="1">
      <c r="A32" s="8">
        <v>3</v>
      </c>
      <c r="B32" s="8">
        <v>2</v>
      </c>
      <c r="C32" s="8">
        <v>1</v>
      </c>
      <c r="D32" s="8">
        <v>2</v>
      </c>
      <c r="E32" s="8">
        <v>2</v>
      </c>
      <c r="F32" s="8">
        <v>0</v>
      </c>
      <c r="G32" s="8">
        <v>2</v>
      </c>
      <c r="I32" s="3">
        <v>2</v>
      </c>
      <c r="J32" s="3">
        <v>4</v>
      </c>
      <c r="K32" s="3">
        <v>3</v>
      </c>
      <c r="L32" s="3">
        <v>2</v>
      </c>
      <c r="M32" s="3">
        <v>2</v>
      </c>
      <c r="N32" s="3">
        <v>2</v>
      </c>
      <c r="O32" s="3">
        <v>3</v>
      </c>
      <c r="P32" s="3">
        <v>4</v>
      </c>
      <c r="Q32" s="3">
        <v>5</v>
      </c>
      <c r="R32" s="3">
        <v>4</v>
      </c>
      <c r="S32" s="3">
        <v>4</v>
      </c>
      <c r="T32" s="3">
        <v>4</v>
      </c>
      <c r="U32" s="3">
        <v>3</v>
      </c>
      <c r="V32" s="3">
        <v>3</v>
      </c>
      <c r="W32" s="3">
        <v>4</v>
      </c>
      <c r="X32" s="20"/>
    </row>
    <row r="33" spans="1:24" ht="15.75" customHeight="1">
      <c r="A33" s="8">
        <v>5</v>
      </c>
      <c r="B33" s="8">
        <v>2</v>
      </c>
      <c r="C33" s="8">
        <v>1</v>
      </c>
      <c r="D33" s="8">
        <v>2</v>
      </c>
      <c r="E33" s="8">
        <v>2</v>
      </c>
      <c r="F33" s="8">
        <v>0</v>
      </c>
      <c r="G33" s="8">
        <v>2</v>
      </c>
      <c r="I33" s="3">
        <v>1</v>
      </c>
      <c r="J33" s="3">
        <v>3</v>
      </c>
      <c r="K33" s="3">
        <v>3</v>
      </c>
      <c r="L33" s="3">
        <v>3</v>
      </c>
      <c r="M33" s="3">
        <v>3</v>
      </c>
      <c r="N33" s="3">
        <v>2</v>
      </c>
      <c r="O33" s="3">
        <v>4</v>
      </c>
      <c r="P33" s="3">
        <v>5</v>
      </c>
      <c r="Q33" s="3">
        <v>3</v>
      </c>
      <c r="R33" s="3">
        <v>2</v>
      </c>
      <c r="S33" s="3">
        <v>3</v>
      </c>
      <c r="T33" s="3">
        <v>3</v>
      </c>
      <c r="U33" s="3">
        <v>3</v>
      </c>
      <c r="V33" s="3">
        <v>4</v>
      </c>
      <c r="W33" s="3">
        <v>3</v>
      </c>
      <c r="X33" s="20"/>
    </row>
    <row r="34" spans="1:24" ht="15.75" customHeight="1">
      <c r="A34" s="8">
        <v>2</v>
      </c>
      <c r="B34" s="8">
        <v>2</v>
      </c>
      <c r="C34" s="8">
        <v>1</v>
      </c>
      <c r="D34" s="8">
        <v>2</v>
      </c>
      <c r="E34" s="8">
        <v>2</v>
      </c>
      <c r="F34" s="8">
        <v>0</v>
      </c>
      <c r="G34" s="8">
        <v>2</v>
      </c>
      <c r="I34" s="3">
        <v>3</v>
      </c>
      <c r="J34" s="3">
        <v>4</v>
      </c>
      <c r="K34" s="3">
        <v>2</v>
      </c>
      <c r="L34" s="3">
        <v>3</v>
      </c>
      <c r="M34" s="3">
        <v>3</v>
      </c>
      <c r="N34" s="3">
        <v>3</v>
      </c>
      <c r="O34" s="3">
        <v>3</v>
      </c>
      <c r="P34" s="3">
        <v>4</v>
      </c>
      <c r="Q34" s="3">
        <v>3</v>
      </c>
      <c r="R34" s="3">
        <v>4</v>
      </c>
      <c r="S34" s="3">
        <v>2</v>
      </c>
      <c r="T34" s="3">
        <v>4</v>
      </c>
      <c r="U34" s="3">
        <v>3</v>
      </c>
      <c r="V34" s="3">
        <v>3</v>
      </c>
      <c r="W34" s="3">
        <v>3</v>
      </c>
      <c r="X34" s="20"/>
    </row>
    <row r="35" spans="1:24" ht="15.75" customHeight="1">
      <c r="A35" s="8">
        <v>2</v>
      </c>
      <c r="B35" s="8">
        <v>2</v>
      </c>
      <c r="C35" s="8">
        <v>1</v>
      </c>
      <c r="D35" s="8">
        <v>2</v>
      </c>
      <c r="E35" s="8">
        <v>2</v>
      </c>
      <c r="F35" s="8">
        <v>0</v>
      </c>
      <c r="G35" s="8">
        <v>1</v>
      </c>
      <c r="I35" s="3">
        <v>3</v>
      </c>
      <c r="J35" s="3">
        <v>3</v>
      </c>
      <c r="K35" s="3">
        <v>3</v>
      </c>
      <c r="L35" s="3">
        <v>4</v>
      </c>
      <c r="M35" s="3">
        <v>3</v>
      </c>
      <c r="N35" s="3">
        <v>3</v>
      </c>
      <c r="O35" s="3">
        <v>2</v>
      </c>
      <c r="P35" s="3">
        <v>3</v>
      </c>
      <c r="Q35" s="3">
        <v>4</v>
      </c>
      <c r="R35" s="3">
        <v>2</v>
      </c>
      <c r="S35" s="3">
        <v>3</v>
      </c>
      <c r="T35" s="3">
        <v>4</v>
      </c>
      <c r="U35" s="3">
        <v>2</v>
      </c>
      <c r="V35" s="3">
        <v>4</v>
      </c>
      <c r="W35" s="3">
        <v>3</v>
      </c>
      <c r="X35" s="20"/>
    </row>
    <row r="36" spans="1:24" ht="15.75" customHeight="1">
      <c r="A36" s="8">
        <v>1</v>
      </c>
      <c r="B36" s="8">
        <v>3</v>
      </c>
      <c r="C36" s="8">
        <v>1</v>
      </c>
      <c r="D36" s="8">
        <v>1</v>
      </c>
      <c r="E36" s="8">
        <v>1</v>
      </c>
      <c r="F36" s="8">
        <v>0</v>
      </c>
      <c r="G36" s="8">
        <v>3</v>
      </c>
      <c r="I36" s="3">
        <v>4</v>
      </c>
      <c r="J36" s="3">
        <v>2</v>
      </c>
      <c r="K36" s="3">
        <v>4</v>
      </c>
      <c r="L36" s="3">
        <v>3</v>
      </c>
      <c r="M36" s="3">
        <v>5</v>
      </c>
      <c r="N36" s="3">
        <v>3</v>
      </c>
      <c r="O36" s="3">
        <v>4</v>
      </c>
      <c r="P36" s="3">
        <v>5</v>
      </c>
      <c r="Q36" s="3">
        <v>5</v>
      </c>
      <c r="R36" s="3">
        <v>4</v>
      </c>
      <c r="S36" s="3">
        <v>3</v>
      </c>
      <c r="T36" s="3">
        <v>5</v>
      </c>
      <c r="U36" s="3">
        <v>4</v>
      </c>
      <c r="V36" s="3">
        <v>4</v>
      </c>
      <c r="W36" s="3">
        <v>5</v>
      </c>
      <c r="X36" s="20"/>
    </row>
    <row r="37" spans="1:24" ht="15.75" customHeight="1">
      <c r="A37" s="8">
        <v>2</v>
      </c>
      <c r="B37" s="8">
        <v>3</v>
      </c>
      <c r="C37" s="8">
        <v>1</v>
      </c>
      <c r="D37" s="8">
        <v>1</v>
      </c>
      <c r="E37" s="8">
        <v>1</v>
      </c>
      <c r="F37" s="8">
        <v>0</v>
      </c>
      <c r="G37" s="8">
        <v>4</v>
      </c>
      <c r="I37" s="3">
        <v>4</v>
      </c>
      <c r="J37" s="3">
        <v>2</v>
      </c>
      <c r="K37" s="3">
        <v>4</v>
      </c>
      <c r="L37" s="3">
        <v>3</v>
      </c>
      <c r="M37" s="3">
        <v>5</v>
      </c>
      <c r="N37" s="3">
        <v>3</v>
      </c>
      <c r="O37" s="3">
        <v>5</v>
      </c>
      <c r="P37" s="3">
        <v>3</v>
      </c>
      <c r="Q37" s="3">
        <v>5</v>
      </c>
      <c r="R37" s="3">
        <v>5</v>
      </c>
      <c r="S37" s="3">
        <v>4</v>
      </c>
      <c r="T37" s="3">
        <v>5</v>
      </c>
      <c r="U37" s="3">
        <v>3</v>
      </c>
      <c r="V37" s="3">
        <v>4</v>
      </c>
      <c r="W37" s="3">
        <v>5</v>
      </c>
      <c r="X37" s="20"/>
    </row>
    <row r="38" spans="1:24" ht="15.75" customHeight="1">
      <c r="A38" s="8">
        <v>2</v>
      </c>
      <c r="B38" s="8">
        <v>3</v>
      </c>
      <c r="C38" s="8">
        <v>1</v>
      </c>
      <c r="D38" s="8">
        <v>1</v>
      </c>
      <c r="E38" s="8">
        <v>1</v>
      </c>
      <c r="F38" s="8">
        <v>0</v>
      </c>
      <c r="G38" s="8">
        <v>4</v>
      </c>
      <c r="I38" s="3">
        <v>4</v>
      </c>
      <c r="J38" s="3">
        <v>2</v>
      </c>
      <c r="K38" s="3">
        <v>4</v>
      </c>
      <c r="L38" s="3">
        <v>3</v>
      </c>
      <c r="M38" s="3">
        <v>5</v>
      </c>
      <c r="N38" s="3">
        <v>3</v>
      </c>
      <c r="O38" s="3">
        <v>5</v>
      </c>
      <c r="P38" s="3">
        <v>3</v>
      </c>
      <c r="Q38" s="3">
        <v>5</v>
      </c>
      <c r="R38" s="3">
        <v>5</v>
      </c>
      <c r="S38" s="3">
        <v>4</v>
      </c>
      <c r="T38" s="3">
        <v>5</v>
      </c>
      <c r="U38" s="3">
        <v>3</v>
      </c>
      <c r="V38" s="3">
        <v>4</v>
      </c>
      <c r="W38" s="3">
        <v>5</v>
      </c>
      <c r="X38" s="20"/>
    </row>
    <row r="39" spans="1:24" ht="15.75" customHeight="1">
      <c r="A39" s="8">
        <v>3</v>
      </c>
      <c r="B39" s="8">
        <v>2</v>
      </c>
      <c r="C39" s="8">
        <v>1</v>
      </c>
      <c r="D39" s="8">
        <v>2</v>
      </c>
      <c r="E39" s="8">
        <v>2</v>
      </c>
      <c r="F39" s="8">
        <v>0</v>
      </c>
      <c r="G39" s="8">
        <v>1</v>
      </c>
      <c r="I39" s="3">
        <v>3</v>
      </c>
      <c r="J39" s="3">
        <v>3</v>
      </c>
      <c r="K39" s="3">
        <v>4</v>
      </c>
      <c r="L39" s="3">
        <v>2</v>
      </c>
      <c r="M39" s="3">
        <v>3</v>
      </c>
      <c r="N39" s="3">
        <v>2</v>
      </c>
      <c r="O39" s="3">
        <v>3</v>
      </c>
      <c r="P39" s="3">
        <v>4</v>
      </c>
      <c r="Q39" s="3">
        <v>3</v>
      </c>
      <c r="R39" s="3">
        <v>3</v>
      </c>
      <c r="S39" s="3">
        <v>3</v>
      </c>
      <c r="T39" s="3">
        <v>4</v>
      </c>
      <c r="U39" s="3">
        <v>4</v>
      </c>
      <c r="V39" s="3">
        <v>3</v>
      </c>
      <c r="W39" s="3">
        <v>3</v>
      </c>
      <c r="X39" s="20"/>
    </row>
    <row r="40" spans="1:24" ht="15.75" customHeight="1">
      <c r="A40" s="8">
        <v>3</v>
      </c>
      <c r="B40" s="8">
        <v>3</v>
      </c>
      <c r="C40" s="8">
        <v>1</v>
      </c>
      <c r="D40" s="8">
        <v>2</v>
      </c>
      <c r="E40" s="8">
        <v>2</v>
      </c>
      <c r="F40" s="8">
        <v>1</v>
      </c>
      <c r="G40" s="8">
        <v>3</v>
      </c>
      <c r="I40" s="3">
        <v>4</v>
      </c>
      <c r="J40" s="3">
        <v>3</v>
      </c>
      <c r="K40" s="3">
        <v>4</v>
      </c>
      <c r="L40" s="3">
        <v>4</v>
      </c>
      <c r="M40" s="3">
        <v>4</v>
      </c>
      <c r="N40" s="3">
        <v>3</v>
      </c>
      <c r="O40" s="3">
        <v>3</v>
      </c>
      <c r="P40" s="3">
        <v>4</v>
      </c>
      <c r="Q40" s="3">
        <v>4</v>
      </c>
      <c r="R40" s="3">
        <v>4</v>
      </c>
      <c r="S40" s="3">
        <v>5</v>
      </c>
      <c r="T40" s="3">
        <v>5</v>
      </c>
      <c r="U40" s="3">
        <v>4</v>
      </c>
      <c r="V40" s="3">
        <v>3</v>
      </c>
      <c r="W40" s="3">
        <v>4</v>
      </c>
      <c r="X40" s="20"/>
    </row>
    <row r="41" spans="1:24" ht="15.75" customHeight="1">
      <c r="A41" s="8">
        <v>5</v>
      </c>
      <c r="B41" s="8">
        <v>2</v>
      </c>
      <c r="C41" s="8">
        <v>1</v>
      </c>
      <c r="D41" s="8">
        <v>2</v>
      </c>
      <c r="E41" s="8">
        <v>2</v>
      </c>
      <c r="F41" s="8">
        <v>0</v>
      </c>
      <c r="G41" s="8">
        <v>2</v>
      </c>
      <c r="I41" s="3">
        <v>2</v>
      </c>
      <c r="J41" s="3">
        <v>3</v>
      </c>
      <c r="K41" s="3">
        <v>2</v>
      </c>
      <c r="L41" s="3">
        <v>4</v>
      </c>
      <c r="M41" s="3">
        <v>3</v>
      </c>
      <c r="N41" s="3">
        <v>3</v>
      </c>
      <c r="O41" s="3">
        <v>3</v>
      </c>
      <c r="P41" s="3">
        <v>4</v>
      </c>
      <c r="Q41" s="3">
        <v>3</v>
      </c>
      <c r="R41" s="3">
        <v>3</v>
      </c>
      <c r="S41" s="3">
        <v>3</v>
      </c>
      <c r="T41" s="3">
        <v>3</v>
      </c>
      <c r="U41" s="3">
        <v>2</v>
      </c>
      <c r="V41" s="3">
        <v>4</v>
      </c>
      <c r="W41" s="3">
        <v>3</v>
      </c>
      <c r="X41" s="20"/>
    </row>
    <row r="42" spans="1:24" ht="15.75" customHeight="1">
      <c r="A42" s="8">
        <v>3</v>
      </c>
      <c r="B42" s="8">
        <v>3</v>
      </c>
      <c r="C42" s="8">
        <v>1</v>
      </c>
      <c r="D42" s="8">
        <v>2</v>
      </c>
      <c r="E42" s="8">
        <v>2</v>
      </c>
      <c r="F42" s="8">
        <v>1</v>
      </c>
      <c r="G42" s="8">
        <v>3</v>
      </c>
      <c r="I42" s="3">
        <v>4</v>
      </c>
      <c r="J42" s="3">
        <v>2</v>
      </c>
      <c r="K42" s="3">
        <v>2</v>
      </c>
      <c r="L42" s="3">
        <v>3</v>
      </c>
      <c r="M42" s="3">
        <v>4</v>
      </c>
      <c r="N42" s="3">
        <v>4</v>
      </c>
      <c r="O42" s="3">
        <v>4</v>
      </c>
      <c r="P42" s="3">
        <v>2</v>
      </c>
      <c r="Q42" s="3">
        <v>4</v>
      </c>
      <c r="R42" s="3">
        <v>2</v>
      </c>
      <c r="S42" s="3">
        <v>4</v>
      </c>
      <c r="T42" s="3">
        <v>3</v>
      </c>
      <c r="U42" s="3">
        <v>4</v>
      </c>
      <c r="V42" s="3">
        <v>3</v>
      </c>
      <c r="W42" s="3">
        <v>4</v>
      </c>
      <c r="X42" s="20"/>
    </row>
    <row r="43" spans="1:24" ht="15.75" customHeight="1">
      <c r="A43" s="8">
        <v>1</v>
      </c>
      <c r="B43" s="8">
        <v>5</v>
      </c>
      <c r="C43" s="8">
        <v>1</v>
      </c>
      <c r="D43" s="8">
        <v>1</v>
      </c>
      <c r="E43" s="8">
        <v>2</v>
      </c>
      <c r="F43" s="8">
        <v>0</v>
      </c>
      <c r="G43" s="8">
        <v>1</v>
      </c>
      <c r="I43" s="3">
        <v>3</v>
      </c>
      <c r="J43" s="3">
        <v>3</v>
      </c>
      <c r="K43" s="3">
        <v>3</v>
      </c>
      <c r="L43" s="3">
        <v>2</v>
      </c>
      <c r="M43" s="3">
        <v>2</v>
      </c>
      <c r="N43" s="3">
        <v>3</v>
      </c>
      <c r="O43" s="3">
        <v>3</v>
      </c>
      <c r="P43" s="3">
        <v>3</v>
      </c>
      <c r="Q43" s="3">
        <v>4</v>
      </c>
      <c r="R43" s="3">
        <v>3</v>
      </c>
      <c r="S43" s="3">
        <v>3</v>
      </c>
      <c r="T43" s="3">
        <v>4</v>
      </c>
      <c r="U43" s="3">
        <v>4</v>
      </c>
      <c r="V43" s="3">
        <v>4</v>
      </c>
      <c r="W43" s="3">
        <v>3</v>
      </c>
      <c r="X43" s="20"/>
    </row>
    <row r="44" spans="1:24" ht="15.75" customHeight="1">
      <c r="A44" s="8">
        <v>2</v>
      </c>
      <c r="B44" s="8">
        <v>2</v>
      </c>
      <c r="C44" s="8">
        <v>1</v>
      </c>
      <c r="D44" s="8">
        <v>2</v>
      </c>
      <c r="E44" s="8">
        <v>2</v>
      </c>
      <c r="F44" s="8">
        <v>0</v>
      </c>
      <c r="G44" s="8">
        <v>2</v>
      </c>
      <c r="I44" s="3">
        <v>3</v>
      </c>
      <c r="J44" s="3">
        <v>4</v>
      </c>
      <c r="K44" s="3">
        <v>2</v>
      </c>
      <c r="L44" s="3">
        <v>4</v>
      </c>
      <c r="M44" s="3">
        <v>3</v>
      </c>
      <c r="N44" s="3">
        <v>3</v>
      </c>
      <c r="O44" s="3">
        <v>3</v>
      </c>
      <c r="P44" s="3">
        <v>3</v>
      </c>
      <c r="Q44" s="3">
        <v>5</v>
      </c>
      <c r="R44" s="3">
        <v>5</v>
      </c>
      <c r="S44" s="3">
        <v>3</v>
      </c>
      <c r="T44" s="3">
        <v>3</v>
      </c>
      <c r="U44" s="3">
        <v>2</v>
      </c>
      <c r="V44" s="3">
        <v>3</v>
      </c>
      <c r="W44" s="3">
        <v>3</v>
      </c>
      <c r="X44" s="20"/>
    </row>
    <row r="45" spans="1:24" ht="15.75" customHeight="1">
      <c r="A45" s="8">
        <v>2</v>
      </c>
      <c r="B45" s="8">
        <v>2</v>
      </c>
      <c r="C45" s="8">
        <v>1</v>
      </c>
      <c r="D45" s="8">
        <v>2</v>
      </c>
      <c r="E45" s="8">
        <v>2</v>
      </c>
      <c r="F45" s="8">
        <v>0</v>
      </c>
      <c r="G45" s="8">
        <v>3</v>
      </c>
      <c r="I45" s="3">
        <v>4</v>
      </c>
      <c r="J45" s="3">
        <v>3</v>
      </c>
      <c r="K45" s="3">
        <v>3</v>
      </c>
      <c r="L45" s="3">
        <v>3</v>
      </c>
      <c r="M45" s="3">
        <v>3</v>
      </c>
      <c r="N45" s="3">
        <v>3</v>
      </c>
      <c r="O45" s="3">
        <v>2</v>
      </c>
      <c r="P45" s="3">
        <v>3</v>
      </c>
      <c r="Q45" s="3">
        <v>4</v>
      </c>
      <c r="R45" s="3">
        <v>3</v>
      </c>
      <c r="S45" s="3">
        <v>3</v>
      </c>
      <c r="T45" s="3">
        <v>4</v>
      </c>
      <c r="U45" s="3">
        <v>3</v>
      </c>
      <c r="V45" s="3">
        <v>3</v>
      </c>
      <c r="W45" s="3">
        <v>3</v>
      </c>
      <c r="X45" s="20"/>
    </row>
    <row r="46" spans="1:24" ht="15.75" customHeight="1">
      <c r="A46" s="8">
        <v>1</v>
      </c>
      <c r="B46" s="8">
        <v>2</v>
      </c>
      <c r="C46" s="8">
        <v>1</v>
      </c>
      <c r="D46" s="8">
        <v>2</v>
      </c>
      <c r="E46" s="8">
        <v>2</v>
      </c>
      <c r="F46" s="8">
        <v>1</v>
      </c>
      <c r="G46" s="8">
        <v>4</v>
      </c>
      <c r="I46" s="3">
        <v>3</v>
      </c>
      <c r="J46" s="3">
        <v>3</v>
      </c>
      <c r="K46" s="3">
        <v>4</v>
      </c>
      <c r="L46" s="3">
        <v>4</v>
      </c>
      <c r="M46" s="3">
        <v>4</v>
      </c>
      <c r="N46" s="3">
        <v>4</v>
      </c>
      <c r="O46" s="3">
        <v>3</v>
      </c>
      <c r="P46" s="3">
        <v>4</v>
      </c>
      <c r="Q46" s="3">
        <v>4</v>
      </c>
      <c r="R46" s="3">
        <v>3</v>
      </c>
      <c r="S46" s="3">
        <v>5</v>
      </c>
      <c r="T46" s="3">
        <v>4</v>
      </c>
      <c r="U46" s="3">
        <v>3</v>
      </c>
      <c r="V46" s="3">
        <v>2</v>
      </c>
      <c r="W46" s="3">
        <v>3</v>
      </c>
      <c r="X46" s="20"/>
    </row>
    <row r="47" spans="1:24" ht="15.75" customHeight="1">
      <c r="A47" s="8">
        <v>3</v>
      </c>
      <c r="B47" s="8">
        <v>2</v>
      </c>
      <c r="C47" s="8">
        <v>1</v>
      </c>
      <c r="D47" s="8">
        <v>2</v>
      </c>
      <c r="E47" s="8">
        <v>2</v>
      </c>
      <c r="F47" s="8">
        <v>0</v>
      </c>
      <c r="G47" s="8">
        <v>1</v>
      </c>
      <c r="I47" s="3">
        <v>3</v>
      </c>
      <c r="J47" s="3">
        <v>3</v>
      </c>
      <c r="K47" s="3">
        <v>3</v>
      </c>
      <c r="L47" s="3">
        <v>4</v>
      </c>
      <c r="M47" s="3">
        <v>3</v>
      </c>
      <c r="N47" s="3">
        <v>3</v>
      </c>
      <c r="O47" s="3">
        <v>3</v>
      </c>
      <c r="P47" s="3">
        <v>3</v>
      </c>
      <c r="Q47" s="3">
        <v>5</v>
      </c>
      <c r="R47" s="3">
        <v>3</v>
      </c>
      <c r="S47" s="3">
        <v>4</v>
      </c>
      <c r="T47" s="3">
        <v>4</v>
      </c>
      <c r="U47" s="3">
        <v>3</v>
      </c>
      <c r="V47" s="3">
        <v>2</v>
      </c>
      <c r="W47" s="3">
        <v>4</v>
      </c>
      <c r="X47" s="20"/>
    </row>
    <row r="48" spans="1:24" ht="15.75" customHeight="1">
      <c r="A48" s="8">
        <v>2</v>
      </c>
      <c r="B48" s="8">
        <v>5</v>
      </c>
      <c r="C48" s="8">
        <v>1</v>
      </c>
      <c r="D48" s="8">
        <v>2</v>
      </c>
      <c r="E48" s="8">
        <v>1</v>
      </c>
      <c r="F48" s="8">
        <v>0</v>
      </c>
      <c r="G48" s="8">
        <v>3</v>
      </c>
      <c r="I48" s="3">
        <v>4</v>
      </c>
      <c r="J48" s="3">
        <v>4</v>
      </c>
      <c r="K48" s="3">
        <v>3</v>
      </c>
      <c r="L48" s="3">
        <v>5</v>
      </c>
      <c r="M48" s="3">
        <v>4</v>
      </c>
      <c r="N48" s="3">
        <v>4</v>
      </c>
      <c r="O48" s="3">
        <v>5</v>
      </c>
      <c r="P48" s="3">
        <v>3</v>
      </c>
      <c r="Q48" s="3">
        <v>4</v>
      </c>
      <c r="R48" s="3">
        <v>4</v>
      </c>
      <c r="S48" s="3">
        <v>3</v>
      </c>
      <c r="T48" s="3">
        <v>5</v>
      </c>
      <c r="U48" s="3">
        <v>2</v>
      </c>
      <c r="V48" s="3">
        <v>4</v>
      </c>
      <c r="W48" s="3">
        <v>4</v>
      </c>
      <c r="X48" s="20"/>
    </row>
    <row r="49" spans="1:24" ht="15.75" customHeight="1">
      <c r="A49" s="8">
        <v>1</v>
      </c>
      <c r="B49" s="8">
        <v>5</v>
      </c>
      <c r="C49" s="8">
        <v>4</v>
      </c>
      <c r="D49" s="8">
        <v>2</v>
      </c>
      <c r="E49" s="8">
        <v>2</v>
      </c>
      <c r="F49" s="8">
        <v>0</v>
      </c>
      <c r="G49" s="8">
        <v>3</v>
      </c>
      <c r="I49" s="3">
        <v>4</v>
      </c>
      <c r="J49" s="3">
        <v>2</v>
      </c>
      <c r="K49" s="3">
        <v>2</v>
      </c>
      <c r="L49" s="3">
        <v>3</v>
      </c>
      <c r="M49" s="3">
        <v>3</v>
      </c>
      <c r="N49" s="3">
        <v>2</v>
      </c>
      <c r="O49" s="3">
        <v>4</v>
      </c>
      <c r="P49" s="3">
        <v>4</v>
      </c>
      <c r="Q49" s="3">
        <v>4</v>
      </c>
      <c r="R49" s="3">
        <v>4</v>
      </c>
      <c r="S49" s="3">
        <v>3</v>
      </c>
      <c r="T49" s="3">
        <v>4</v>
      </c>
      <c r="U49" s="3">
        <v>4</v>
      </c>
      <c r="V49" s="3">
        <v>5</v>
      </c>
      <c r="W49" s="3">
        <v>3</v>
      </c>
      <c r="X49" s="20"/>
    </row>
    <row r="50" spans="1:24" ht="15.75" customHeight="1">
      <c r="A50" s="8">
        <v>3</v>
      </c>
      <c r="B50" s="8">
        <v>3</v>
      </c>
      <c r="C50" s="8">
        <v>1</v>
      </c>
      <c r="D50" s="8">
        <v>2</v>
      </c>
      <c r="E50" s="8">
        <v>2</v>
      </c>
      <c r="F50" s="8">
        <v>0</v>
      </c>
      <c r="G50" s="8">
        <v>3</v>
      </c>
      <c r="I50" s="3">
        <v>5</v>
      </c>
      <c r="J50" s="3">
        <v>5</v>
      </c>
      <c r="K50" s="3">
        <v>3</v>
      </c>
      <c r="L50" s="3">
        <v>3</v>
      </c>
      <c r="M50" s="3">
        <v>2</v>
      </c>
      <c r="N50" s="3">
        <v>3</v>
      </c>
      <c r="O50" s="3">
        <v>4</v>
      </c>
      <c r="P50" s="3">
        <v>5</v>
      </c>
      <c r="Q50" s="3">
        <v>5</v>
      </c>
      <c r="R50" s="3">
        <v>4</v>
      </c>
      <c r="S50" s="3">
        <v>4</v>
      </c>
      <c r="T50" s="3">
        <v>4</v>
      </c>
      <c r="U50" s="3">
        <v>3</v>
      </c>
      <c r="V50" s="3">
        <v>4</v>
      </c>
      <c r="W50" s="3">
        <v>4</v>
      </c>
      <c r="X50" s="20"/>
    </row>
    <row r="51" spans="1:24" ht="15.75" customHeight="1">
      <c r="A51" s="8">
        <v>2</v>
      </c>
      <c r="B51" s="8">
        <v>2</v>
      </c>
      <c r="C51" s="8">
        <v>1</v>
      </c>
      <c r="D51" s="8">
        <v>2</v>
      </c>
      <c r="E51" s="8">
        <v>2</v>
      </c>
      <c r="F51" s="8">
        <v>0</v>
      </c>
      <c r="G51" s="8">
        <v>2</v>
      </c>
      <c r="I51" s="3">
        <v>4</v>
      </c>
      <c r="J51" s="3">
        <v>4</v>
      </c>
      <c r="K51" s="3">
        <v>2</v>
      </c>
      <c r="L51" s="3">
        <v>3</v>
      </c>
      <c r="M51" s="3">
        <v>4</v>
      </c>
      <c r="N51" s="3">
        <v>3</v>
      </c>
      <c r="O51" s="3">
        <v>2</v>
      </c>
      <c r="P51" s="3">
        <v>2</v>
      </c>
      <c r="Q51" s="3">
        <v>3</v>
      </c>
      <c r="R51" s="3">
        <v>3</v>
      </c>
      <c r="S51" s="3">
        <v>3</v>
      </c>
      <c r="T51" s="3">
        <v>3</v>
      </c>
      <c r="U51" s="3">
        <v>2</v>
      </c>
      <c r="V51" s="3">
        <v>4</v>
      </c>
      <c r="W51" s="3">
        <v>4</v>
      </c>
      <c r="X51" s="20"/>
    </row>
    <row r="52" spans="1:24" ht="15.75" customHeight="1">
      <c r="A52" s="8">
        <v>1</v>
      </c>
      <c r="B52" s="8">
        <v>2</v>
      </c>
      <c r="C52" s="8">
        <v>1</v>
      </c>
      <c r="D52" s="8">
        <v>2</v>
      </c>
      <c r="E52" s="8">
        <v>2</v>
      </c>
      <c r="F52" s="8">
        <v>1</v>
      </c>
      <c r="G52" s="8">
        <v>4</v>
      </c>
      <c r="I52" s="3">
        <v>4</v>
      </c>
      <c r="J52" s="3">
        <v>3</v>
      </c>
      <c r="K52" s="3">
        <v>2</v>
      </c>
      <c r="L52" s="3">
        <v>3</v>
      </c>
      <c r="M52" s="3">
        <v>3</v>
      </c>
      <c r="N52" s="3">
        <v>3</v>
      </c>
      <c r="O52" s="3">
        <v>3</v>
      </c>
      <c r="P52" s="3">
        <v>3</v>
      </c>
      <c r="Q52" s="3">
        <v>4</v>
      </c>
      <c r="R52" s="3">
        <v>3</v>
      </c>
      <c r="S52" s="3">
        <v>4</v>
      </c>
      <c r="T52" s="3">
        <v>4</v>
      </c>
      <c r="U52" s="3">
        <v>4</v>
      </c>
      <c r="V52" s="3">
        <v>3</v>
      </c>
      <c r="W52" s="3">
        <v>3</v>
      </c>
      <c r="X52" s="20"/>
    </row>
    <row r="53" spans="1:24" ht="15.75" customHeight="1">
      <c r="A53" s="8">
        <v>3</v>
      </c>
      <c r="B53" s="8">
        <v>3</v>
      </c>
      <c r="C53" s="8">
        <v>1</v>
      </c>
      <c r="D53" s="8">
        <v>2</v>
      </c>
      <c r="E53" s="8">
        <v>2</v>
      </c>
      <c r="F53" s="8">
        <v>1</v>
      </c>
      <c r="G53" s="8">
        <v>2</v>
      </c>
      <c r="I53" s="3">
        <v>2</v>
      </c>
      <c r="J53" s="3">
        <v>3</v>
      </c>
      <c r="K53" s="3">
        <v>3</v>
      </c>
      <c r="L53" s="3">
        <v>3</v>
      </c>
      <c r="M53" s="3">
        <v>3</v>
      </c>
      <c r="N53" s="3">
        <v>3</v>
      </c>
      <c r="O53" s="3">
        <v>4</v>
      </c>
      <c r="P53" s="3">
        <v>2</v>
      </c>
      <c r="Q53" s="3">
        <v>4</v>
      </c>
      <c r="R53" s="3">
        <v>3</v>
      </c>
      <c r="S53" s="3">
        <v>4</v>
      </c>
      <c r="T53" s="3">
        <v>4</v>
      </c>
      <c r="U53" s="3">
        <v>2</v>
      </c>
      <c r="V53" s="3">
        <v>3</v>
      </c>
      <c r="W53" s="3">
        <v>3</v>
      </c>
      <c r="X53" s="20"/>
    </row>
    <row r="54" spans="1:24" ht="15.75" customHeight="1">
      <c r="A54" s="8">
        <v>2</v>
      </c>
      <c r="B54" s="8">
        <v>2</v>
      </c>
      <c r="C54" s="8">
        <v>1</v>
      </c>
      <c r="D54" s="8">
        <v>2</v>
      </c>
      <c r="E54" s="8">
        <v>2</v>
      </c>
      <c r="F54" s="8">
        <v>0</v>
      </c>
      <c r="G54" s="8">
        <v>1</v>
      </c>
      <c r="I54" s="3">
        <v>2</v>
      </c>
      <c r="J54" s="3">
        <v>3</v>
      </c>
      <c r="K54" s="3">
        <v>3</v>
      </c>
      <c r="L54" s="3">
        <v>4</v>
      </c>
      <c r="M54" s="3">
        <v>3</v>
      </c>
      <c r="N54" s="3">
        <v>3</v>
      </c>
      <c r="O54" s="3">
        <v>3</v>
      </c>
      <c r="P54" s="3">
        <v>4</v>
      </c>
      <c r="Q54" s="3">
        <v>4</v>
      </c>
      <c r="R54" s="3">
        <v>3</v>
      </c>
      <c r="S54" s="3">
        <v>2</v>
      </c>
      <c r="T54" s="3">
        <v>4</v>
      </c>
      <c r="U54" s="3">
        <v>4</v>
      </c>
      <c r="V54" s="3">
        <v>2</v>
      </c>
      <c r="W54" s="3">
        <v>3</v>
      </c>
      <c r="X54" s="20"/>
    </row>
    <row r="55" spans="1:24" ht="15.75" customHeight="1">
      <c r="A55" s="8">
        <v>5</v>
      </c>
      <c r="B55" s="8">
        <v>2</v>
      </c>
      <c r="C55" s="8">
        <v>1</v>
      </c>
      <c r="D55" s="8">
        <v>2</v>
      </c>
      <c r="E55" s="8">
        <v>2</v>
      </c>
      <c r="F55" s="8">
        <v>0</v>
      </c>
      <c r="G55" s="8">
        <v>3</v>
      </c>
      <c r="I55" s="3">
        <v>1</v>
      </c>
      <c r="J55" s="3">
        <v>4</v>
      </c>
      <c r="K55" s="3">
        <v>4</v>
      </c>
      <c r="L55" s="3">
        <v>2</v>
      </c>
      <c r="M55" s="3">
        <v>3</v>
      </c>
      <c r="N55" s="3">
        <v>3</v>
      </c>
      <c r="O55" s="3">
        <v>2</v>
      </c>
      <c r="P55" s="3">
        <v>3</v>
      </c>
      <c r="Q55" s="3">
        <v>2</v>
      </c>
      <c r="R55" s="3">
        <v>2</v>
      </c>
      <c r="S55" s="3">
        <v>2</v>
      </c>
      <c r="T55" s="3">
        <v>4</v>
      </c>
      <c r="U55" s="3">
        <v>5</v>
      </c>
      <c r="V55" s="3">
        <v>3</v>
      </c>
      <c r="W55" s="3">
        <v>3</v>
      </c>
      <c r="X55" s="20"/>
    </row>
    <row r="56" spans="1:24" ht="15.75" customHeight="1">
      <c r="A56" s="8">
        <v>3</v>
      </c>
      <c r="B56" s="8">
        <v>2</v>
      </c>
      <c r="C56" s="8">
        <v>1</v>
      </c>
      <c r="D56" s="8">
        <v>2</v>
      </c>
      <c r="E56" s="8">
        <v>2</v>
      </c>
      <c r="F56" s="8">
        <v>0</v>
      </c>
      <c r="G56" s="8">
        <v>2</v>
      </c>
      <c r="I56" s="3">
        <v>4</v>
      </c>
      <c r="J56" s="3">
        <v>3</v>
      </c>
      <c r="K56" s="3">
        <v>5</v>
      </c>
      <c r="L56" s="3">
        <v>3</v>
      </c>
      <c r="M56" s="3">
        <v>3</v>
      </c>
      <c r="N56" s="3">
        <v>3</v>
      </c>
      <c r="O56" s="3">
        <v>4</v>
      </c>
      <c r="P56" s="3">
        <v>5</v>
      </c>
      <c r="Q56" s="3">
        <v>4</v>
      </c>
      <c r="R56" s="3">
        <v>3</v>
      </c>
      <c r="S56" s="3">
        <v>3</v>
      </c>
      <c r="T56" s="3">
        <v>4</v>
      </c>
      <c r="U56" s="3">
        <v>3</v>
      </c>
      <c r="V56" s="3">
        <v>3</v>
      </c>
      <c r="W56" s="3">
        <v>3</v>
      </c>
      <c r="X56" s="20"/>
    </row>
    <row r="57" spans="1:24" ht="15.75" customHeight="1">
      <c r="A57" s="8">
        <v>3</v>
      </c>
      <c r="B57" s="8">
        <v>2</v>
      </c>
      <c r="C57" s="8">
        <v>1</v>
      </c>
      <c r="D57" s="8">
        <v>2</v>
      </c>
      <c r="E57" s="8">
        <v>2</v>
      </c>
      <c r="F57" s="8">
        <v>0</v>
      </c>
      <c r="G57" s="8">
        <v>2</v>
      </c>
      <c r="I57" s="3">
        <v>3</v>
      </c>
      <c r="J57" s="3">
        <v>4</v>
      </c>
      <c r="K57" s="3">
        <v>5</v>
      </c>
      <c r="L57" s="3">
        <v>3</v>
      </c>
      <c r="M57" s="3">
        <v>3</v>
      </c>
      <c r="N57" s="3">
        <v>3</v>
      </c>
      <c r="O57" s="3">
        <v>3</v>
      </c>
      <c r="P57" s="3">
        <v>3</v>
      </c>
      <c r="Q57" s="3">
        <v>4</v>
      </c>
      <c r="R57" s="3">
        <v>4</v>
      </c>
      <c r="S57" s="3">
        <v>2</v>
      </c>
      <c r="T57" s="3">
        <v>4</v>
      </c>
      <c r="U57" s="3">
        <v>4</v>
      </c>
      <c r="V57" s="3">
        <v>3</v>
      </c>
      <c r="W57" s="3">
        <v>3</v>
      </c>
      <c r="X57" s="20"/>
    </row>
    <row r="58" spans="1:24" ht="15.75" customHeight="1">
      <c r="A58" s="8">
        <v>2</v>
      </c>
      <c r="B58" s="8">
        <v>3</v>
      </c>
      <c r="C58" s="8">
        <v>1</v>
      </c>
      <c r="D58" s="8">
        <v>2</v>
      </c>
      <c r="E58" s="8">
        <v>2</v>
      </c>
      <c r="F58" s="8">
        <v>0</v>
      </c>
      <c r="G58" s="8">
        <v>3</v>
      </c>
      <c r="I58" s="3">
        <v>3</v>
      </c>
      <c r="J58" s="3">
        <v>4</v>
      </c>
      <c r="K58" s="3">
        <v>3</v>
      </c>
      <c r="L58" s="3">
        <v>3</v>
      </c>
      <c r="M58" s="3">
        <v>3</v>
      </c>
      <c r="N58" s="3">
        <v>3</v>
      </c>
      <c r="O58" s="3">
        <v>3</v>
      </c>
      <c r="P58" s="3">
        <v>4</v>
      </c>
      <c r="Q58" s="3">
        <v>4</v>
      </c>
      <c r="R58" s="3">
        <v>4</v>
      </c>
      <c r="S58" s="3">
        <v>4</v>
      </c>
      <c r="T58" s="3">
        <v>4</v>
      </c>
      <c r="U58" s="3">
        <v>4</v>
      </c>
      <c r="V58" s="3">
        <v>4</v>
      </c>
      <c r="W58" s="3">
        <v>3</v>
      </c>
      <c r="X58" s="20"/>
    </row>
    <row r="59" spans="1:24" ht="15.75" customHeight="1">
      <c r="A59" s="8">
        <v>2</v>
      </c>
      <c r="B59" s="8">
        <v>2</v>
      </c>
      <c r="C59" s="8">
        <v>1</v>
      </c>
      <c r="D59" s="8">
        <v>2</v>
      </c>
      <c r="E59" s="8">
        <v>2</v>
      </c>
      <c r="F59" s="8">
        <v>0</v>
      </c>
      <c r="G59" s="8">
        <v>1</v>
      </c>
      <c r="I59" s="3">
        <v>2</v>
      </c>
      <c r="J59" s="3">
        <v>3</v>
      </c>
      <c r="K59" s="3">
        <v>3</v>
      </c>
      <c r="L59" s="3">
        <v>2</v>
      </c>
      <c r="M59" s="3">
        <v>2</v>
      </c>
      <c r="N59" s="3">
        <v>2</v>
      </c>
      <c r="O59" s="3">
        <v>4</v>
      </c>
      <c r="P59" s="3">
        <v>5</v>
      </c>
      <c r="Q59" s="3">
        <v>4</v>
      </c>
      <c r="R59" s="3">
        <v>3</v>
      </c>
      <c r="S59" s="3">
        <v>3</v>
      </c>
      <c r="T59" s="3">
        <v>4</v>
      </c>
      <c r="U59" s="3">
        <v>4</v>
      </c>
      <c r="V59" s="3">
        <v>2</v>
      </c>
      <c r="W59" s="3">
        <v>3</v>
      </c>
      <c r="X59" s="20"/>
    </row>
    <row r="60" spans="1:24" ht="15.75" customHeight="1">
      <c r="A60" s="8">
        <v>5</v>
      </c>
      <c r="B60" s="8">
        <v>5</v>
      </c>
      <c r="C60" s="8">
        <v>1</v>
      </c>
      <c r="D60" s="8">
        <v>2</v>
      </c>
      <c r="E60" s="8">
        <v>1</v>
      </c>
      <c r="F60" s="8">
        <v>0</v>
      </c>
      <c r="G60" s="8">
        <v>3</v>
      </c>
      <c r="I60" s="3">
        <v>4</v>
      </c>
      <c r="J60" s="3">
        <v>2</v>
      </c>
      <c r="K60" s="3">
        <v>4</v>
      </c>
      <c r="L60" s="3">
        <v>3</v>
      </c>
      <c r="M60" s="3">
        <v>3</v>
      </c>
      <c r="N60" s="3">
        <v>3</v>
      </c>
      <c r="O60" s="3">
        <v>3</v>
      </c>
      <c r="P60" s="3">
        <v>3</v>
      </c>
      <c r="Q60" s="3">
        <v>5</v>
      </c>
      <c r="R60" s="3">
        <v>3</v>
      </c>
      <c r="S60" s="3">
        <v>3</v>
      </c>
      <c r="T60" s="3">
        <v>4</v>
      </c>
      <c r="U60" s="3">
        <v>3</v>
      </c>
      <c r="V60" s="3">
        <v>4</v>
      </c>
      <c r="W60" s="3">
        <v>4</v>
      </c>
      <c r="X60" s="20"/>
    </row>
    <row r="61" spans="1:24" ht="15.75" customHeight="1">
      <c r="A61" s="8">
        <v>3</v>
      </c>
      <c r="B61" s="8">
        <v>3</v>
      </c>
      <c r="C61" s="8">
        <v>1</v>
      </c>
      <c r="D61" s="8">
        <v>2</v>
      </c>
      <c r="E61" s="8">
        <v>2</v>
      </c>
      <c r="F61" s="8">
        <v>1</v>
      </c>
      <c r="G61" s="8">
        <v>4</v>
      </c>
      <c r="I61" s="3">
        <v>2</v>
      </c>
      <c r="J61" s="3">
        <v>3</v>
      </c>
      <c r="K61" s="3">
        <v>3</v>
      </c>
      <c r="L61" s="3">
        <v>4</v>
      </c>
      <c r="M61" s="3">
        <v>3</v>
      </c>
      <c r="N61" s="3">
        <v>3</v>
      </c>
      <c r="O61" s="3">
        <v>3</v>
      </c>
      <c r="P61" s="3">
        <v>4</v>
      </c>
      <c r="Q61" s="3">
        <v>4</v>
      </c>
      <c r="R61" s="3">
        <v>3</v>
      </c>
      <c r="S61" s="3">
        <v>4</v>
      </c>
      <c r="T61" s="3">
        <v>3</v>
      </c>
      <c r="U61" s="3">
        <v>2</v>
      </c>
      <c r="V61" s="3">
        <v>4</v>
      </c>
      <c r="W61" s="3">
        <v>3</v>
      </c>
      <c r="X61" s="20"/>
    </row>
    <row r="62" spans="1:24" ht="15.75" customHeight="1">
      <c r="A62" s="8">
        <v>1</v>
      </c>
      <c r="B62" s="8">
        <v>2</v>
      </c>
      <c r="C62" s="8">
        <v>1</v>
      </c>
      <c r="D62" s="8">
        <v>2</v>
      </c>
      <c r="E62" s="8">
        <v>2</v>
      </c>
      <c r="F62" s="8">
        <v>1</v>
      </c>
      <c r="G62" s="8">
        <v>2</v>
      </c>
      <c r="I62" s="3">
        <v>3</v>
      </c>
      <c r="J62" s="3">
        <v>3</v>
      </c>
      <c r="K62" s="3">
        <v>3</v>
      </c>
      <c r="L62" s="3">
        <v>3</v>
      </c>
      <c r="M62" s="3">
        <v>3</v>
      </c>
      <c r="N62" s="3">
        <v>4</v>
      </c>
      <c r="O62" s="3">
        <v>4</v>
      </c>
      <c r="P62" s="3">
        <v>5</v>
      </c>
      <c r="Q62" s="3">
        <v>5</v>
      </c>
      <c r="R62" s="3">
        <v>5</v>
      </c>
      <c r="S62" s="3">
        <v>5</v>
      </c>
      <c r="T62" s="3">
        <v>4</v>
      </c>
      <c r="U62" s="3">
        <v>3</v>
      </c>
      <c r="V62" s="3">
        <v>2</v>
      </c>
      <c r="W62" s="3">
        <v>3</v>
      </c>
      <c r="X62" s="20"/>
    </row>
    <row r="63" spans="1:24" ht="15.75" customHeight="1">
      <c r="A63" s="8">
        <v>3</v>
      </c>
      <c r="B63" s="8">
        <v>3</v>
      </c>
      <c r="C63" s="8">
        <v>1</v>
      </c>
      <c r="D63" s="8">
        <v>2</v>
      </c>
      <c r="E63" s="8">
        <v>2</v>
      </c>
      <c r="F63" s="8">
        <v>1</v>
      </c>
      <c r="G63" s="8">
        <v>4</v>
      </c>
      <c r="I63" s="3">
        <v>2</v>
      </c>
      <c r="J63" s="3">
        <v>3</v>
      </c>
      <c r="K63" s="3">
        <v>2</v>
      </c>
      <c r="L63" s="3">
        <v>3</v>
      </c>
      <c r="M63" s="3">
        <v>3</v>
      </c>
      <c r="N63" s="3">
        <v>2</v>
      </c>
      <c r="O63" s="3">
        <v>3</v>
      </c>
      <c r="P63" s="3">
        <v>5</v>
      </c>
      <c r="Q63" s="3">
        <v>5</v>
      </c>
      <c r="R63" s="3">
        <v>4</v>
      </c>
      <c r="S63" s="3">
        <v>5</v>
      </c>
      <c r="T63" s="3">
        <v>5</v>
      </c>
      <c r="U63" s="3">
        <v>1</v>
      </c>
      <c r="V63" s="3">
        <v>5</v>
      </c>
      <c r="W63" s="3">
        <v>4</v>
      </c>
      <c r="X63" s="20"/>
    </row>
    <row r="64" spans="1:24" ht="15.75" customHeight="1">
      <c r="A64" s="8">
        <v>3</v>
      </c>
      <c r="B64" s="8">
        <v>3</v>
      </c>
      <c r="C64" s="8">
        <v>1</v>
      </c>
      <c r="D64" s="8">
        <v>2</v>
      </c>
      <c r="E64" s="8">
        <v>2</v>
      </c>
      <c r="F64" s="8">
        <v>0</v>
      </c>
      <c r="G64" s="8">
        <v>3</v>
      </c>
      <c r="I64" s="3">
        <v>2</v>
      </c>
      <c r="J64" s="3">
        <v>4</v>
      </c>
      <c r="K64" s="3">
        <v>3</v>
      </c>
      <c r="L64" s="3">
        <v>3</v>
      </c>
      <c r="M64" s="3">
        <v>3</v>
      </c>
      <c r="N64" s="3">
        <v>3</v>
      </c>
      <c r="O64" s="3">
        <v>4</v>
      </c>
      <c r="P64" s="3">
        <v>3</v>
      </c>
      <c r="Q64" s="3">
        <v>5</v>
      </c>
      <c r="R64" s="3">
        <v>5</v>
      </c>
      <c r="S64" s="3">
        <v>5</v>
      </c>
      <c r="T64" s="3">
        <v>4</v>
      </c>
      <c r="U64" s="3">
        <v>4</v>
      </c>
      <c r="V64" s="3">
        <v>5</v>
      </c>
      <c r="W64" s="3">
        <v>4</v>
      </c>
      <c r="X64" s="2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I1:W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workbookViewId="0"/>
  </sheetViews>
  <sheetFormatPr baseColWidth="10" defaultColWidth="11.1640625" defaultRowHeight="15" customHeight="1"/>
  <cols>
    <col min="1" max="6" width="10.5" customWidth="1"/>
    <col min="7" max="7" width="16" customWidth="1"/>
    <col min="8" max="9" width="10.5" customWidth="1"/>
    <col min="10" max="10" width="16" customWidth="1"/>
    <col min="11" max="11" width="15.83203125" customWidth="1"/>
    <col min="12" max="12" width="10.5" customWidth="1"/>
    <col min="13" max="13" width="19.1640625" customWidth="1"/>
    <col min="14" max="18" width="10.5" customWidth="1"/>
    <col min="19" max="19" width="18.5" customWidth="1"/>
    <col min="20" max="26" width="10.5" customWidth="1"/>
  </cols>
  <sheetData>
    <row r="1" spans="1:22" ht="15.75" customHeight="1">
      <c r="A1" s="21" t="s">
        <v>2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</row>
    <row r="2" spans="1:22" ht="15.75" customHeight="1">
      <c r="A2" s="22">
        <v>0</v>
      </c>
      <c r="B2" s="22">
        <v>0.25</v>
      </c>
      <c r="C2" s="22">
        <v>0.25</v>
      </c>
      <c r="D2" s="22">
        <v>1</v>
      </c>
      <c r="E2" s="22">
        <v>1</v>
      </c>
      <c r="F2" s="23">
        <v>0</v>
      </c>
      <c r="G2" s="23">
        <v>0.66666666666666674</v>
      </c>
      <c r="H2" s="23">
        <v>0.75</v>
      </c>
      <c r="I2" s="23">
        <v>0.5</v>
      </c>
      <c r="J2" s="23">
        <v>0.99999999999999989</v>
      </c>
      <c r="K2" s="23">
        <v>0.33333333333333343</v>
      </c>
      <c r="L2" s="23">
        <v>0.5</v>
      </c>
      <c r="M2" s="23">
        <v>0.66666666666666674</v>
      </c>
      <c r="N2" s="23">
        <v>0.75</v>
      </c>
      <c r="O2" s="23">
        <v>0.99999999999999989</v>
      </c>
      <c r="P2" s="23">
        <v>0.66666666666666663</v>
      </c>
      <c r="Q2" s="23">
        <v>0.99999999999999989</v>
      </c>
      <c r="R2" s="23">
        <v>0.66666666666666663</v>
      </c>
      <c r="S2" s="23">
        <v>0.66666666666666663</v>
      </c>
      <c r="T2" s="23">
        <v>0.75</v>
      </c>
      <c r="U2" s="23">
        <v>0.75</v>
      </c>
      <c r="V2" s="23">
        <v>1</v>
      </c>
    </row>
    <row r="3" spans="1:22" ht="15.75" customHeight="1">
      <c r="A3" s="23">
        <v>0.25</v>
      </c>
      <c r="B3" s="23">
        <v>0.25</v>
      </c>
      <c r="C3" s="23">
        <v>0.25</v>
      </c>
      <c r="D3" s="23">
        <v>1</v>
      </c>
      <c r="E3" s="23">
        <v>1</v>
      </c>
      <c r="F3" s="23">
        <v>0</v>
      </c>
      <c r="G3" s="23">
        <v>0.66666666666666674</v>
      </c>
      <c r="H3" s="23">
        <v>0.25</v>
      </c>
      <c r="I3" s="23">
        <v>0.5</v>
      </c>
      <c r="J3" s="23">
        <v>0.33333333333333343</v>
      </c>
      <c r="K3" s="23">
        <v>0.33333333333333343</v>
      </c>
      <c r="L3" s="23">
        <v>0.5</v>
      </c>
      <c r="M3" s="23">
        <v>0.66666666666666674</v>
      </c>
      <c r="N3" s="23">
        <v>0.25</v>
      </c>
      <c r="O3" s="23">
        <v>0</v>
      </c>
      <c r="P3" s="23">
        <v>0.66666666666666663</v>
      </c>
      <c r="Q3" s="23">
        <v>0.33333333333333343</v>
      </c>
      <c r="R3" s="23">
        <v>0.66666666666666663</v>
      </c>
      <c r="S3" s="23">
        <v>0.66666666666666663</v>
      </c>
      <c r="T3" s="23">
        <v>0.75</v>
      </c>
      <c r="U3" s="23">
        <v>0.75</v>
      </c>
      <c r="V3" s="23">
        <v>0.75</v>
      </c>
    </row>
    <row r="4" spans="1:22" ht="15.75" customHeight="1">
      <c r="A4" s="23">
        <v>0</v>
      </c>
      <c r="B4" s="23">
        <v>0.25</v>
      </c>
      <c r="C4" s="23">
        <v>0.25</v>
      </c>
      <c r="D4" s="23">
        <v>1</v>
      </c>
      <c r="E4" s="23">
        <v>1</v>
      </c>
      <c r="F4" s="23">
        <v>0</v>
      </c>
      <c r="G4" s="23">
        <v>0.33333333333333331</v>
      </c>
      <c r="H4" s="23">
        <v>0.5</v>
      </c>
      <c r="I4" s="23">
        <v>0.5</v>
      </c>
      <c r="J4" s="23">
        <v>0</v>
      </c>
      <c r="K4" s="23">
        <v>0.33333333333333343</v>
      </c>
      <c r="L4" s="23">
        <v>0.5</v>
      </c>
      <c r="M4" s="23">
        <v>1</v>
      </c>
      <c r="N4" s="23">
        <v>0.25</v>
      </c>
      <c r="O4" s="23">
        <v>0.33333333333333343</v>
      </c>
      <c r="P4" s="23">
        <v>0.66666666666666663</v>
      </c>
      <c r="Q4" s="23">
        <v>0.99999999999999989</v>
      </c>
      <c r="R4" s="23">
        <v>0.66666666666666663</v>
      </c>
      <c r="S4" s="23">
        <v>0.33333333333333343</v>
      </c>
      <c r="T4" s="23">
        <v>0.25</v>
      </c>
      <c r="U4" s="23">
        <v>0.5</v>
      </c>
      <c r="V4" s="23">
        <v>0.5</v>
      </c>
    </row>
    <row r="5" spans="1:22" ht="15.75" customHeight="1">
      <c r="A5" s="23">
        <v>0.5</v>
      </c>
      <c r="B5" s="23">
        <v>0.25</v>
      </c>
      <c r="C5" s="23">
        <v>0.25</v>
      </c>
      <c r="D5" s="23">
        <v>1</v>
      </c>
      <c r="E5" s="23">
        <v>1</v>
      </c>
      <c r="F5" s="23">
        <v>0</v>
      </c>
      <c r="G5" s="23">
        <v>0.66666666666666674</v>
      </c>
      <c r="H5" s="23">
        <v>0.25</v>
      </c>
      <c r="I5" s="23">
        <v>0.25</v>
      </c>
      <c r="J5" s="23">
        <v>0.66666666666666663</v>
      </c>
      <c r="K5" s="23">
        <v>0</v>
      </c>
      <c r="L5" s="23">
        <v>0.25</v>
      </c>
      <c r="M5" s="23">
        <v>0</v>
      </c>
      <c r="N5" s="23">
        <v>0.5</v>
      </c>
      <c r="O5" s="23">
        <v>0.99999999999999989</v>
      </c>
      <c r="P5" s="23">
        <v>0.66666666666666663</v>
      </c>
      <c r="Q5" s="23">
        <v>0.66666666666666663</v>
      </c>
      <c r="R5" s="23">
        <v>0.99999999999999989</v>
      </c>
      <c r="S5" s="23">
        <v>0.66666666666666663</v>
      </c>
      <c r="T5" s="23">
        <v>0.5</v>
      </c>
      <c r="U5" s="23">
        <v>0.25</v>
      </c>
      <c r="V5" s="23">
        <v>0.5</v>
      </c>
    </row>
    <row r="6" spans="1:22" ht="15.75" customHeight="1">
      <c r="A6" s="23">
        <v>0.25</v>
      </c>
      <c r="B6" s="23">
        <v>0.25</v>
      </c>
      <c r="C6" s="23">
        <v>0.25</v>
      </c>
      <c r="D6" s="23">
        <v>1</v>
      </c>
      <c r="E6" s="23">
        <v>1</v>
      </c>
      <c r="F6" s="23">
        <v>0</v>
      </c>
      <c r="G6" s="23">
        <v>0.33333333333333331</v>
      </c>
      <c r="H6" s="23">
        <v>0.5</v>
      </c>
      <c r="I6" s="23">
        <v>0.5</v>
      </c>
      <c r="J6" s="23">
        <v>0.33333333333333343</v>
      </c>
      <c r="K6" s="23">
        <v>0.66666666666666663</v>
      </c>
      <c r="L6" s="23">
        <v>0.5</v>
      </c>
      <c r="M6" s="23">
        <v>0.66666666666666674</v>
      </c>
      <c r="N6" s="23">
        <v>0.75</v>
      </c>
      <c r="O6" s="23">
        <v>0.33333333333333343</v>
      </c>
      <c r="P6" s="23">
        <v>0.66666666666666663</v>
      </c>
      <c r="Q6" s="23">
        <v>0.66666666666666663</v>
      </c>
      <c r="R6" s="23">
        <v>0.33333333333333343</v>
      </c>
      <c r="S6" s="23">
        <v>0.66666666666666663</v>
      </c>
      <c r="T6" s="23">
        <v>1</v>
      </c>
      <c r="U6" s="23">
        <v>0.75</v>
      </c>
      <c r="V6" s="23">
        <v>0.75</v>
      </c>
    </row>
    <row r="7" spans="1:22" ht="15.75" customHeight="1">
      <c r="A7" s="23">
        <v>0.25</v>
      </c>
      <c r="B7" s="23">
        <v>0.5</v>
      </c>
      <c r="C7" s="23">
        <v>0.25</v>
      </c>
      <c r="D7" s="23">
        <v>1</v>
      </c>
      <c r="E7" s="23">
        <v>1</v>
      </c>
      <c r="F7" s="23">
        <v>1</v>
      </c>
      <c r="G7" s="23">
        <v>1</v>
      </c>
      <c r="H7" s="23">
        <v>0.25</v>
      </c>
      <c r="I7" s="23">
        <v>0.5</v>
      </c>
      <c r="J7" s="23">
        <v>0.33333333333333343</v>
      </c>
      <c r="K7" s="23">
        <v>0.33333333333333343</v>
      </c>
      <c r="L7" s="23">
        <v>0.5</v>
      </c>
      <c r="M7" s="23">
        <v>0.66666666666666674</v>
      </c>
      <c r="N7" s="23">
        <v>0.25</v>
      </c>
      <c r="O7" s="23">
        <v>0</v>
      </c>
      <c r="P7" s="23">
        <v>0.66666666666666663</v>
      </c>
      <c r="Q7" s="23">
        <v>0.66666666666666663</v>
      </c>
      <c r="R7" s="23">
        <v>0.66666666666666663</v>
      </c>
      <c r="S7" s="23">
        <v>0.66666666666666663</v>
      </c>
      <c r="T7" s="23">
        <v>0.75</v>
      </c>
      <c r="U7" s="23">
        <v>1</v>
      </c>
      <c r="V7" s="23">
        <v>0.75</v>
      </c>
    </row>
    <row r="8" spans="1:22" ht="15.75" customHeight="1">
      <c r="A8" s="23">
        <v>0.25</v>
      </c>
      <c r="B8" s="23">
        <v>0.25</v>
      </c>
      <c r="C8" s="23">
        <v>0.25</v>
      </c>
      <c r="D8" s="23">
        <v>1</v>
      </c>
      <c r="E8" s="23">
        <v>1</v>
      </c>
      <c r="F8" s="23">
        <v>0</v>
      </c>
      <c r="G8" s="23">
        <v>0.33333333333333331</v>
      </c>
      <c r="H8" s="23">
        <v>0.75</v>
      </c>
      <c r="I8" s="23">
        <v>0.5</v>
      </c>
      <c r="J8" s="23">
        <v>0.99999999999999989</v>
      </c>
      <c r="K8" s="23">
        <v>0.66666666666666663</v>
      </c>
      <c r="L8" s="23">
        <v>0.5</v>
      </c>
      <c r="M8" s="23">
        <v>0.33333333333333331</v>
      </c>
      <c r="N8" s="23">
        <v>0.5</v>
      </c>
      <c r="O8" s="23">
        <v>0.99999999999999989</v>
      </c>
      <c r="P8" s="23">
        <v>0.99999999999999989</v>
      </c>
      <c r="Q8" s="23">
        <v>0.99999999999999989</v>
      </c>
      <c r="R8" s="23">
        <v>0.33333333333333343</v>
      </c>
      <c r="S8" s="23">
        <v>0.66666666666666663</v>
      </c>
      <c r="T8" s="23">
        <v>0.75</v>
      </c>
      <c r="U8" s="23">
        <v>0.25</v>
      </c>
      <c r="V8" s="23">
        <v>0.5</v>
      </c>
    </row>
    <row r="9" spans="1:22" ht="15.75" customHeight="1">
      <c r="A9" s="23">
        <v>0.25</v>
      </c>
      <c r="B9" s="23">
        <v>0.25</v>
      </c>
      <c r="C9" s="23">
        <v>0.25</v>
      </c>
      <c r="D9" s="23">
        <v>1</v>
      </c>
      <c r="E9" s="23">
        <v>1</v>
      </c>
      <c r="F9" s="23">
        <v>0</v>
      </c>
      <c r="G9" s="23">
        <v>0</v>
      </c>
      <c r="H9" s="23">
        <v>0.25</v>
      </c>
      <c r="I9" s="23">
        <v>0.5</v>
      </c>
      <c r="J9" s="23">
        <v>0.33333333333333343</v>
      </c>
      <c r="K9" s="23">
        <v>0</v>
      </c>
      <c r="L9" s="23">
        <v>0.25</v>
      </c>
      <c r="M9" s="23">
        <v>0.33333333333333331</v>
      </c>
      <c r="N9" s="23">
        <v>0.75</v>
      </c>
      <c r="O9" s="23">
        <v>0.99999999999999989</v>
      </c>
      <c r="P9" s="23">
        <v>0.66666666666666663</v>
      </c>
      <c r="Q9" s="23">
        <v>0.33333333333333343</v>
      </c>
      <c r="R9" s="23">
        <v>0.33333333333333343</v>
      </c>
      <c r="S9" s="23">
        <v>0.33333333333333343</v>
      </c>
      <c r="T9" s="23">
        <v>0.5</v>
      </c>
      <c r="U9" s="23">
        <v>0.25</v>
      </c>
      <c r="V9" s="23">
        <v>0.5</v>
      </c>
    </row>
    <row r="10" spans="1:22" ht="15.75" customHeight="1">
      <c r="A10" s="23">
        <v>0.25</v>
      </c>
      <c r="B10" s="23">
        <v>0.75</v>
      </c>
      <c r="C10" s="23">
        <v>0.5</v>
      </c>
      <c r="D10" s="23">
        <v>1</v>
      </c>
      <c r="E10" s="23">
        <v>0</v>
      </c>
      <c r="F10" s="23">
        <v>0</v>
      </c>
      <c r="G10" s="23">
        <v>0.33333333333333331</v>
      </c>
      <c r="H10" s="23">
        <v>0.75</v>
      </c>
      <c r="I10" s="23">
        <v>0.5</v>
      </c>
      <c r="J10" s="23">
        <v>0.33333333333333343</v>
      </c>
      <c r="K10" s="23">
        <v>0</v>
      </c>
      <c r="L10" s="23">
        <v>0</v>
      </c>
      <c r="M10" s="23">
        <v>0.33333333333333331</v>
      </c>
      <c r="N10" s="23">
        <v>0.75</v>
      </c>
      <c r="O10" s="23">
        <v>0.99999999999999989</v>
      </c>
      <c r="P10" s="23">
        <v>0.33333333333333343</v>
      </c>
      <c r="Q10" s="23">
        <v>0</v>
      </c>
      <c r="R10" s="23">
        <v>0</v>
      </c>
      <c r="S10" s="23">
        <v>0</v>
      </c>
      <c r="T10" s="23">
        <v>0.5</v>
      </c>
      <c r="U10" s="23">
        <v>0.75</v>
      </c>
      <c r="V10" s="23">
        <v>0.25</v>
      </c>
    </row>
    <row r="11" spans="1:22" ht="15.75" customHeight="1">
      <c r="A11" s="23">
        <v>0</v>
      </c>
      <c r="B11" s="23">
        <v>0.25</v>
      </c>
      <c r="C11" s="23">
        <v>0.25</v>
      </c>
      <c r="D11" s="23">
        <v>1</v>
      </c>
      <c r="E11" s="23">
        <v>1</v>
      </c>
      <c r="F11" s="23">
        <v>0</v>
      </c>
      <c r="G11" s="23">
        <v>0.33333333333333331</v>
      </c>
      <c r="H11" s="23">
        <v>0.25</v>
      </c>
      <c r="I11" s="23">
        <v>0.5</v>
      </c>
      <c r="J11" s="23">
        <v>0</v>
      </c>
      <c r="K11" s="23">
        <v>0.33333333333333298</v>
      </c>
      <c r="L11" s="23">
        <v>0.5</v>
      </c>
      <c r="M11" s="23">
        <v>0.66666666666666674</v>
      </c>
      <c r="N11" s="23">
        <v>0.25</v>
      </c>
      <c r="O11" s="23">
        <v>0.99999999999999989</v>
      </c>
      <c r="P11" s="23">
        <v>0.33333333333333343</v>
      </c>
      <c r="Q11" s="23">
        <v>0.66666666666666663</v>
      </c>
      <c r="R11" s="23">
        <v>0</v>
      </c>
      <c r="S11" s="23">
        <v>0.33333333333333343</v>
      </c>
      <c r="T11" s="23">
        <v>0.25</v>
      </c>
      <c r="U11" s="23">
        <v>0.5</v>
      </c>
      <c r="V11" s="23">
        <v>0.5</v>
      </c>
    </row>
    <row r="12" spans="1:22" ht="15.75" customHeight="1">
      <c r="A12" s="23">
        <v>0.25</v>
      </c>
      <c r="B12" s="23">
        <v>1</v>
      </c>
      <c r="C12" s="23">
        <v>0.25</v>
      </c>
      <c r="D12" s="23">
        <v>1</v>
      </c>
      <c r="E12" s="23">
        <v>0</v>
      </c>
      <c r="F12" s="23">
        <v>0</v>
      </c>
      <c r="G12" s="23">
        <v>0</v>
      </c>
      <c r="H12" s="23">
        <v>1</v>
      </c>
      <c r="I12" s="23">
        <v>0.5</v>
      </c>
      <c r="J12" s="23">
        <v>0.66666666666666663</v>
      </c>
      <c r="K12" s="23">
        <v>0</v>
      </c>
      <c r="L12" s="23">
        <v>0.5</v>
      </c>
      <c r="M12" s="23">
        <v>0</v>
      </c>
      <c r="N12" s="23">
        <v>0.5</v>
      </c>
      <c r="O12" s="23">
        <v>0.33333333333333343</v>
      </c>
      <c r="P12" s="23">
        <v>0.33333333333333343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0.25</v>
      </c>
    </row>
    <row r="13" spans="1:22" ht="15.75" customHeight="1">
      <c r="A13" s="23">
        <v>0.5</v>
      </c>
      <c r="B13" s="23">
        <v>0</v>
      </c>
      <c r="C13" s="23">
        <v>0</v>
      </c>
      <c r="D13" s="23">
        <v>1</v>
      </c>
      <c r="E13" s="23">
        <v>1</v>
      </c>
      <c r="F13" s="23">
        <v>0</v>
      </c>
      <c r="G13" s="23">
        <v>0.33333333333333331</v>
      </c>
      <c r="H13" s="23">
        <v>0.25</v>
      </c>
      <c r="I13" s="23">
        <v>0.25</v>
      </c>
      <c r="J13" s="23">
        <v>0</v>
      </c>
      <c r="K13" s="23">
        <v>0.66666666666666663</v>
      </c>
      <c r="L13" s="23">
        <v>0.5</v>
      </c>
      <c r="M13" s="23">
        <v>0.66666666666666674</v>
      </c>
      <c r="N13" s="23">
        <v>0</v>
      </c>
      <c r="O13" s="23">
        <v>0.66666666666666663</v>
      </c>
      <c r="P13" s="23">
        <v>0.66666666666666663</v>
      </c>
      <c r="Q13" s="23">
        <v>0.33333333333333343</v>
      </c>
      <c r="R13" s="23">
        <v>0.66666666666666663</v>
      </c>
      <c r="S13" s="23">
        <v>0.66666666666666663</v>
      </c>
      <c r="T13" s="23">
        <v>0</v>
      </c>
      <c r="U13" s="23">
        <v>1</v>
      </c>
      <c r="V13" s="23">
        <v>0</v>
      </c>
    </row>
    <row r="14" spans="1:22" ht="15.75" customHeight="1">
      <c r="A14" s="23">
        <v>0.5</v>
      </c>
      <c r="B14" s="23">
        <v>1</v>
      </c>
      <c r="C14" s="23">
        <v>0</v>
      </c>
      <c r="D14" s="23">
        <v>1</v>
      </c>
      <c r="E14" s="23">
        <v>1</v>
      </c>
      <c r="F14" s="23">
        <v>0</v>
      </c>
      <c r="G14" s="23">
        <v>0.66666666666666674</v>
      </c>
      <c r="H14" s="23">
        <v>0.25</v>
      </c>
      <c r="I14" s="23">
        <v>0.5</v>
      </c>
      <c r="J14" s="23">
        <v>0.33333333333333343</v>
      </c>
      <c r="K14" s="23">
        <v>0.66666666666666663</v>
      </c>
      <c r="L14" s="23">
        <v>0.25</v>
      </c>
      <c r="M14" s="23">
        <v>0.33333333333333331</v>
      </c>
      <c r="N14" s="23">
        <v>0.25</v>
      </c>
      <c r="O14" s="23">
        <v>0.66666666666666663</v>
      </c>
      <c r="P14" s="23">
        <v>0.66666666666666663</v>
      </c>
      <c r="Q14" s="23">
        <v>0.33333333333333343</v>
      </c>
      <c r="R14" s="23">
        <v>0.99999999999999989</v>
      </c>
      <c r="S14" s="23">
        <v>0.33333333333333343</v>
      </c>
      <c r="T14" s="23">
        <v>0.5</v>
      </c>
      <c r="U14" s="23">
        <v>0.75</v>
      </c>
      <c r="V14" s="23">
        <v>0.25</v>
      </c>
    </row>
    <row r="15" spans="1:22" ht="15.75" customHeight="1">
      <c r="A15" s="23">
        <v>0</v>
      </c>
      <c r="B15" s="23">
        <v>0.25</v>
      </c>
      <c r="C15" s="23">
        <v>0.25</v>
      </c>
      <c r="D15" s="23">
        <v>1</v>
      </c>
      <c r="E15" s="23">
        <v>1</v>
      </c>
      <c r="F15" s="23">
        <v>0</v>
      </c>
      <c r="G15" s="23">
        <v>0.33333333333333331</v>
      </c>
      <c r="H15" s="23">
        <v>0.25</v>
      </c>
      <c r="I15" s="23">
        <v>0.5</v>
      </c>
      <c r="J15" s="23">
        <v>0</v>
      </c>
      <c r="K15" s="23">
        <v>0.66666666666666663</v>
      </c>
      <c r="L15" s="23">
        <v>0.5</v>
      </c>
      <c r="M15" s="23">
        <v>0.66666666666666674</v>
      </c>
      <c r="N15" s="23">
        <v>0.5</v>
      </c>
      <c r="O15" s="23">
        <v>0.99999999999999989</v>
      </c>
      <c r="P15" s="23">
        <v>0.66666666666666663</v>
      </c>
      <c r="Q15" s="23">
        <v>0.33333333333333343</v>
      </c>
      <c r="R15" s="23">
        <v>0.33333333333333343</v>
      </c>
      <c r="S15" s="23">
        <v>0.66666666666666663</v>
      </c>
      <c r="T15" s="23">
        <v>0.25</v>
      </c>
      <c r="U15" s="23">
        <v>0.75</v>
      </c>
      <c r="V15" s="23">
        <v>0.5</v>
      </c>
    </row>
    <row r="16" spans="1:22" ht="15.75" customHeight="1">
      <c r="A16" s="23">
        <v>0.25</v>
      </c>
      <c r="B16" s="23">
        <v>0.25</v>
      </c>
      <c r="C16" s="23">
        <v>0.25</v>
      </c>
      <c r="D16" s="23">
        <v>1</v>
      </c>
      <c r="E16" s="23">
        <v>1</v>
      </c>
      <c r="F16" s="23">
        <v>0</v>
      </c>
      <c r="G16" s="23">
        <v>0.33333333333333331</v>
      </c>
      <c r="H16" s="23">
        <v>0.5</v>
      </c>
      <c r="I16" s="23">
        <v>0.75</v>
      </c>
      <c r="J16" s="23">
        <v>0.33333333333333343</v>
      </c>
      <c r="K16" s="23">
        <v>0.33333333333333343</v>
      </c>
      <c r="L16" s="23">
        <v>0.5</v>
      </c>
      <c r="M16" s="23">
        <v>0.66666666666666674</v>
      </c>
      <c r="N16" s="23">
        <v>0.5</v>
      </c>
      <c r="O16" s="23">
        <v>0.33333333333333343</v>
      </c>
      <c r="P16" s="23">
        <v>0.99999999999999989</v>
      </c>
      <c r="Q16" s="23">
        <v>0.99999999999999989</v>
      </c>
      <c r="R16" s="23">
        <v>0</v>
      </c>
      <c r="S16" s="23">
        <v>0.66666666666666663</v>
      </c>
      <c r="T16" s="23">
        <v>0.5</v>
      </c>
      <c r="U16" s="23">
        <v>0.5</v>
      </c>
      <c r="V16" s="23">
        <v>0.5</v>
      </c>
    </row>
    <row r="17" spans="1:22" ht="15.75" customHeight="1">
      <c r="A17" s="23">
        <v>0.25</v>
      </c>
      <c r="B17" s="23">
        <v>0.25</v>
      </c>
      <c r="C17" s="23">
        <v>0.25</v>
      </c>
      <c r="D17" s="23">
        <v>1</v>
      </c>
      <c r="E17" s="23">
        <v>1</v>
      </c>
      <c r="F17" s="23">
        <v>0</v>
      </c>
      <c r="G17" s="23">
        <v>0</v>
      </c>
      <c r="H17" s="23">
        <v>0.25</v>
      </c>
      <c r="I17" s="23">
        <v>0.5</v>
      </c>
      <c r="J17" s="23">
        <v>0</v>
      </c>
      <c r="K17" s="23">
        <v>0.66666666666666663</v>
      </c>
      <c r="L17" s="23">
        <v>0.5</v>
      </c>
      <c r="M17" s="23">
        <v>0.66666666666666674</v>
      </c>
      <c r="N17" s="23">
        <v>0.75</v>
      </c>
      <c r="O17" s="23">
        <v>0.66666666666666663</v>
      </c>
      <c r="P17" s="23">
        <v>0.66666666666666663</v>
      </c>
      <c r="Q17" s="23">
        <v>0.33333333333333343</v>
      </c>
      <c r="R17" s="23">
        <v>0</v>
      </c>
      <c r="S17" s="23">
        <v>0.66666666666666663</v>
      </c>
      <c r="T17" s="23">
        <v>0.5</v>
      </c>
      <c r="U17" s="23">
        <v>0.5</v>
      </c>
      <c r="V17" s="23">
        <v>0.5</v>
      </c>
    </row>
    <row r="18" spans="1:22" ht="15.75" customHeight="1">
      <c r="A18" s="23">
        <v>0.25</v>
      </c>
      <c r="B18" s="23">
        <v>0.25</v>
      </c>
      <c r="C18" s="23">
        <v>0.25</v>
      </c>
      <c r="D18" s="23">
        <v>1</v>
      </c>
      <c r="E18" s="23">
        <v>1</v>
      </c>
      <c r="F18" s="23">
        <v>1</v>
      </c>
      <c r="G18" s="23">
        <v>1</v>
      </c>
      <c r="H18" s="23">
        <v>0.75</v>
      </c>
      <c r="I18" s="23">
        <v>0</v>
      </c>
      <c r="J18" s="23">
        <v>0.33333333333333343</v>
      </c>
      <c r="K18" s="23">
        <v>0.33333333333333343</v>
      </c>
      <c r="L18" s="23">
        <v>0.5</v>
      </c>
      <c r="M18" s="23">
        <v>1</v>
      </c>
      <c r="N18" s="23">
        <v>0.75</v>
      </c>
      <c r="O18" s="23">
        <v>0.99999999999999989</v>
      </c>
      <c r="P18" s="23">
        <v>0.66666666666666663</v>
      </c>
      <c r="Q18" s="23">
        <v>0.66666666666666663</v>
      </c>
      <c r="R18" s="23">
        <v>0.66666666666666663</v>
      </c>
      <c r="S18" s="23">
        <v>0.66666666666666663</v>
      </c>
      <c r="T18" s="23">
        <v>0.5</v>
      </c>
      <c r="U18" s="23">
        <v>0.5</v>
      </c>
      <c r="V18" s="23">
        <v>0.75</v>
      </c>
    </row>
    <row r="19" spans="1:22" ht="15.75" customHeight="1">
      <c r="A19" s="23">
        <v>0.25</v>
      </c>
      <c r="B19" s="23">
        <v>0.25</v>
      </c>
      <c r="C19" s="23">
        <v>0.25</v>
      </c>
      <c r="D19" s="23">
        <v>1</v>
      </c>
      <c r="E19" s="23">
        <v>1</v>
      </c>
      <c r="F19" s="23">
        <v>1</v>
      </c>
      <c r="G19" s="23">
        <v>1</v>
      </c>
      <c r="H19" s="23">
        <v>0.75</v>
      </c>
      <c r="I19" s="23">
        <v>0.5</v>
      </c>
      <c r="J19" s="23">
        <v>0.66666666666666663</v>
      </c>
      <c r="K19" s="23">
        <v>0.33333333333333343</v>
      </c>
      <c r="L19" s="23">
        <v>0.75</v>
      </c>
      <c r="M19" s="23">
        <v>1</v>
      </c>
      <c r="N19" s="23">
        <v>1</v>
      </c>
      <c r="O19" s="23">
        <v>0.66666666666666663</v>
      </c>
      <c r="P19" s="23">
        <v>0.99999999999999989</v>
      </c>
      <c r="Q19" s="23">
        <v>0.66666666666666663</v>
      </c>
      <c r="R19" s="23">
        <v>0.99999999999999989</v>
      </c>
      <c r="S19" s="23">
        <v>0.99999999999999989</v>
      </c>
      <c r="T19" s="23">
        <v>0.5</v>
      </c>
      <c r="U19" s="23">
        <v>0</v>
      </c>
      <c r="V19" s="23">
        <v>0.75</v>
      </c>
    </row>
    <row r="20" spans="1:22" ht="15.75" customHeight="1">
      <c r="A20" s="23">
        <v>0.5</v>
      </c>
      <c r="B20" s="23">
        <v>0.5</v>
      </c>
      <c r="C20" s="23">
        <v>0.25</v>
      </c>
      <c r="D20" s="23">
        <v>1</v>
      </c>
      <c r="E20" s="23">
        <v>1</v>
      </c>
      <c r="F20" s="23">
        <v>0</v>
      </c>
      <c r="G20" s="23">
        <v>1</v>
      </c>
      <c r="H20" s="23">
        <v>0.5</v>
      </c>
      <c r="I20" s="23">
        <v>0.25</v>
      </c>
      <c r="J20" s="23">
        <v>0.33333333333333343</v>
      </c>
      <c r="K20" s="23">
        <v>0.33333333333333343</v>
      </c>
      <c r="L20" s="23">
        <v>0.5</v>
      </c>
      <c r="M20" s="23">
        <v>0.33333333333333331</v>
      </c>
      <c r="N20" s="23">
        <v>0.75</v>
      </c>
      <c r="O20" s="23">
        <v>0.99999999999999989</v>
      </c>
      <c r="P20" s="23">
        <v>0.66666666666666663</v>
      </c>
      <c r="Q20" s="23">
        <v>0.66666666666666663</v>
      </c>
      <c r="R20" s="23">
        <v>0.66666666666666663</v>
      </c>
      <c r="S20" s="23">
        <v>0.66666666666666663</v>
      </c>
      <c r="T20" s="23">
        <v>0.75</v>
      </c>
      <c r="U20" s="23">
        <v>0.25</v>
      </c>
      <c r="V20" s="23">
        <v>0.5</v>
      </c>
    </row>
    <row r="21" spans="1:22" ht="15.75" customHeight="1">
      <c r="A21" s="23">
        <v>0.25</v>
      </c>
      <c r="B21" s="23">
        <v>0.25</v>
      </c>
      <c r="C21" s="23">
        <v>0.25</v>
      </c>
      <c r="D21" s="23">
        <v>1</v>
      </c>
      <c r="E21" s="23">
        <v>1</v>
      </c>
      <c r="F21" s="23">
        <v>0</v>
      </c>
      <c r="G21" s="23">
        <v>0.66666666666666674</v>
      </c>
      <c r="H21" s="23">
        <v>0.75</v>
      </c>
      <c r="I21" s="23">
        <v>0.5</v>
      </c>
      <c r="J21" s="23">
        <v>0.66666666666666663</v>
      </c>
      <c r="K21" s="23">
        <v>0.66666666666666663</v>
      </c>
      <c r="L21" s="23">
        <v>0.75</v>
      </c>
      <c r="M21" s="23">
        <v>0.33333333333333331</v>
      </c>
      <c r="N21" s="23">
        <v>0.5</v>
      </c>
      <c r="O21" s="23">
        <v>0.66666666666666663</v>
      </c>
      <c r="P21" s="23">
        <v>0.99999999999999989</v>
      </c>
      <c r="Q21" s="23">
        <v>0.99999999999999989</v>
      </c>
      <c r="R21" s="23">
        <v>0.33333333333333343</v>
      </c>
      <c r="S21" s="23">
        <v>0.66666666666666663</v>
      </c>
      <c r="T21" s="23">
        <v>0.75</v>
      </c>
      <c r="U21" s="23">
        <v>0.25</v>
      </c>
      <c r="V21" s="23">
        <v>0.5</v>
      </c>
    </row>
    <row r="22" spans="1:22" ht="15.75" customHeight="1">
      <c r="A22" s="23">
        <v>0.5</v>
      </c>
      <c r="B22" s="23">
        <v>0.5</v>
      </c>
      <c r="C22" s="23">
        <v>0.25</v>
      </c>
      <c r="D22" s="23">
        <v>1</v>
      </c>
      <c r="E22" s="23">
        <v>1</v>
      </c>
      <c r="F22" s="23">
        <v>0</v>
      </c>
      <c r="G22" s="23">
        <v>1</v>
      </c>
      <c r="H22" s="23">
        <v>0.75</v>
      </c>
      <c r="I22" s="23">
        <v>0.75</v>
      </c>
      <c r="J22" s="23">
        <v>0</v>
      </c>
      <c r="K22" s="23">
        <v>0.33333333333333343</v>
      </c>
      <c r="L22" s="23">
        <v>0.5</v>
      </c>
      <c r="M22" s="23">
        <v>0.66666666666666674</v>
      </c>
      <c r="N22" s="23">
        <v>0.75</v>
      </c>
      <c r="O22" s="23">
        <v>0.33333333333333343</v>
      </c>
      <c r="P22" s="23">
        <v>0.66666666666666663</v>
      </c>
      <c r="Q22" s="23">
        <v>0.66666666666666663</v>
      </c>
      <c r="R22" s="23">
        <v>0.99999999999999989</v>
      </c>
      <c r="S22" s="23">
        <v>0.33333333333333343</v>
      </c>
      <c r="T22" s="23">
        <v>0.25</v>
      </c>
      <c r="U22" s="23">
        <v>0.5</v>
      </c>
      <c r="V22" s="23">
        <v>0.5</v>
      </c>
    </row>
    <row r="23" spans="1:22" ht="15.75" customHeight="1">
      <c r="A23" s="23">
        <v>0.25</v>
      </c>
      <c r="B23" s="23">
        <v>0.5</v>
      </c>
      <c r="C23" s="23">
        <v>0.25</v>
      </c>
      <c r="D23" s="23">
        <v>1</v>
      </c>
      <c r="E23" s="23">
        <v>1</v>
      </c>
      <c r="F23" s="23">
        <v>0</v>
      </c>
      <c r="G23" s="23">
        <v>0</v>
      </c>
      <c r="H23" s="23">
        <v>0.75</v>
      </c>
      <c r="I23" s="23">
        <v>0.5</v>
      </c>
      <c r="J23" s="23">
        <v>0</v>
      </c>
      <c r="K23" s="23">
        <v>0.66666666666666663</v>
      </c>
      <c r="L23" s="23">
        <v>0.5</v>
      </c>
      <c r="M23" s="23">
        <v>0.66666666666666674</v>
      </c>
      <c r="N23" s="23">
        <v>0.75</v>
      </c>
      <c r="O23" s="23">
        <v>0.66666666666666663</v>
      </c>
      <c r="P23" s="23">
        <v>0.99999999999999989</v>
      </c>
      <c r="Q23" s="23">
        <v>0.66666666666666663</v>
      </c>
      <c r="R23" s="23">
        <v>0.33333333333333343</v>
      </c>
      <c r="S23" s="23">
        <v>0.66666666666666663</v>
      </c>
      <c r="T23" s="23">
        <v>0.25</v>
      </c>
      <c r="U23" s="23">
        <v>0.75</v>
      </c>
      <c r="V23" s="23">
        <v>0.5</v>
      </c>
    </row>
    <row r="24" spans="1:22" ht="15.75" customHeight="1">
      <c r="A24" s="23">
        <v>0.25</v>
      </c>
      <c r="B24" s="23">
        <v>1</v>
      </c>
      <c r="C24" s="23">
        <v>0.25</v>
      </c>
      <c r="D24" s="23">
        <v>1</v>
      </c>
      <c r="E24" s="23">
        <v>0</v>
      </c>
      <c r="F24" s="23">
        <v>0</v>
      </c>
      <c r="G24" s="23">
        <v>0</v>
      </c>
      <c r="H24" s="23">
        <v>0.75</v>
      </c>
      <c r="I24" s="23">
        <v>0.5</v>
      </c>
      <c r="J24" s="23">
        <v>0</v>
      </c>
      <c r="K24" s="23">
        <v>0.33333333333333343</v>
      </c>
      <c r="L24" s="23">
        <v>0.25</v>
      </c>
      <c r="M24" s="23">
        <v>0.66666666666666674</v>
      </c>
      <c r="N24" s="23">
        <v>0.25</v>
      </c>
      <c r="O24" s="23">
        <v>0.66666666666666663</v>
      </c>
      <c r="P24" s="23">
        <v>0.66666666666666663</v>
      </c>
      <c r="Q24" s="23">
        <v>0.66666666666666663</v>
      </c>
      <c r="R24" s="23">
        <v>0</v>
      </c>
      <c r="S24" s="23">
        <v>0</v>
      </c>
      <c r="T24" s="23">
        <v>0.5</v>
      </c>
      <c r="U24" s="23">
        <v>0.5</v>
      </c>
      <c r="V24" s="23">
        <v>0.5</v>
      </c>
    </row>
    <row r="25" spans="1:22" ht="15.75" customHeight="1">
      <c r="A25" s="23">
        <v>0.25</v>
      </c>
      <c r="B25" s="23">
        <v>0.25</v>
      </c>
      <c r="C25" s="23">
        <v>0.25</v>
      </c>
      <c r="D25" s="23">
        <v>1</v>
      </c>
      <c r="E25" s="23">
        <v>1</v>
      </c>
      <c r="F25" s="23">
        <v>1</v>
      </c>
      <c r="G25" s="23">
        <v>1</v>
      </c>
      <c r="H25" s="23">
        <v>0.25</v>
      </c>
      <c r="I25" s="23">
        <v>0.25</v>
      </c>
      <c r="J25" s="23">
        <v>0</v>
      </c>
      <c r="K25" s="23">
        <v>0.66666666666666663</v>
      </c>
      <c r="L25" s="23">
        <v>0.5</v>
      </c>
      <c r="M25" s="23">
        <v>0.66666666666666674</v>
      </c>
      <c r="N25" s="23">
        <v>0.75</v>
      </c>
      <c r="O25" s="23">
        <v>0.66666666666666663</v>
      </c>
      <c r="P25" s="23">
        <v>0.99999999999999989</v>
      </c>
      <c r="Q25" s="23">
        <v>0.99999999999999989</v>
      </c>
      <c r="R25" s="23">
        <v>0.99999999999999989</v>
      </c>
      <c r="S25" s="23">
        <v>0.66666666666666663</v>
      </c>
      <c r="T25" s="23">
        <v>0.25</v>
      </c>
      <c r="U25" s="23">
        <v>0.25</v>
      </c>
      <c r="V25" s="23">
        <v>0.75</v>
      </c>
    </row>
    <row r="26" spans="1:22" ht="15.75" customHeight="1">
      <c r="A26" s="23">
        <v>0.25</v>
      </c>
      <c r="B26" s="23">
        <v>0.25</v>
      </c>
      <c r="C26" s="23">
        <v>0.25</v>
      </c>
      <c r="D26" s="23">
        <v>1</v>
      </c>
      <c r="E26" s="23">
        <v>1</v>
      </c>
      <c r="F26" s="23">
        <v>1</v>
      </c>
      <c r="G26" s="23">
        <v>0.66666666666666674</v>
      </c>
      <c r="H26" s="23">
        <v>0.75</v>
      </c>
      <c r="I26" s="23">
        <v>0.5</v>
      </c>
      <c r="J26" s="23">
        <v>0.66666666666666663</v>
      </c>
      <c r="K26" s="23">
        <v>0.33333333333333343</v>
      </c>
      <c r="L26" s="23">
        <v>0.5</v>
      </c>
      <c r="M26" s="23">
        <v>0.66666666666666674</v>
      </c>
      <c r="N26" s="23">
        <v>0.5</v>
      </c>
      <c r="O26" s="23">
        <v>0.33333333333333343</v>
      </c>
      <c r="P26" s="23">
        <v>0.66666666666666663</v>
      </c>
      <c r="Q26" s="23">
        <v>0.66666666666666663</v>
      </c>
      <c r="R26" s="23">
        <v>0.33333333333333343</v>
      </c>
      <c r="S26" s="23">
        <v>0.33333333333333343</v>
      </c>
      <c r="T26" s="23">
        <v>0.25</v>
      </c>
      <c r="U26" s="23">
        <v>0.5</v>
      </c>
      <c r="V26" s="23">
        <v>0.5</v>
      </c>
    </row>
    <row r="27" spans="1:22" ht="15.75" customHeight="1">
      <c r="A27" s="23">
        <v>0.25</v>
      </c>
      <c r="B27" s="23">
        <v>0.25</v>
      </c>
      <c r="C27" s="23">
        <v>0.25</v>
      </c>
      <c r="D27" s="23">
        <v>1</v>
      </c>
      <c r="E27" s="23">
        <v>1</v>
      </c>
      <c r="F27" s="23">
        <v>0</v>
      </c>
      <c r="G27" s="23">
        <v>0.66666666666666674</v>
      </c>
      <c r="H27" s="23">
        <v>0.75</v>
      </c>
      <c r="I27" s="23">
        <v>0.5</v>
      </c>
      <c r="J27" s="23">
        <v>0.33333333333333343</v>
      </c>
      <c r="K27" s="23">
        <v>0.66666666666666663</v>
      </c>
      <c r="L27" s="23">
        <v>0.5</v>
      </c>
      <c r="M27" s="23">
        <v>0.66666666666666674</v>
      </c>
      <c r="N27" s="23">
        <v>0.75</v>
      </c>
      <c r="O27" s="23">
        <v>0.99999999999999989</v>
      </c>
      <c r="P27" s="23">
        <v>0.66666666666666663</v>
      </c>
      <c r="Q27" s="23">
        <v>0.66666666666666663</v>
      </c>
      <c r="R27" s="23">
        <v>0.66666666666666663</v>
      </c>
      <c r="S27" s="23">
        <v>0.66666666666666663</v>
      </c>
      <c r="T27" s="23">
        <v>0.75</v>
      </c>
      <c r="U27" s="23">
        <v>0.25</v>
      </c>
      <c r="V27" s="23">
        <v>0.75</v>
      </c>
    </row>
    <row r="28" spans="1:22" ht="15.75" customHeight="1">
      <c r="A28" s="23">
        <v>0.5</v>
      </c>
      <c r="B28" s="23">
        <v>0.25</v>
      </c>
      <c r="C28" s="23">
        <v>0.25</v>
      </c>
      <c r="D28" s="23">
        <v>1</v>
      </c>
      <c r="E28" s="23">
        <v>1</v>
      </c>
      <c r="F28" s="23">
        <v>1</v>
      </c>
      <c r="G28" s="23">
        <v>0.33333333333333331</v>
      </c>
      <c r="H28" s="23">
        <v>0.5</v>
      </c>
      <c r="I28" s="23">
        <v>0.5</v>
      </c>
      <c r="J28" s="23">
        <v>0.33333333333333343</v>
      </c>
      <c r="K28" s="23">
        <v>0.66666666666666663</v>
      </c>
      <c r="L28" s="23">
        <v>0.5</v>
      </c>
      <c r="M28" s="23">
        <v>1</v>
      </c>
      <c r="N28" s="23">
        <v>0.25</v>
      </c>
      <c r="O28" s="23">
        <v>0.66666666666666663</v>
      </c>
      <c r="P28" s="23">
        <v>0.66666666666666663</v>
      </c>
      <c r="Q28" s="23">
        <v>0.33333333333333343</v>
      </c>
      <c r="R28" s="23">
        <v>0</v>
      </c>
      <c r="S28" s="23">
        <v>0.66666666666666663</v>
      </c>
      <c r="T28" s="23">
        <v>0.75</v>
      </c>
      <c r="U28" s="23">
        <v>0.25</v>
      </c>
      <c r="V28" s="23">
        <v>0.75</v>
      </c>
    </row>
    <row r="29" spans="1:22" ht="15.75" customHeight="1">
      <c r="A29" s="23">
        <v>0.75</v>
      </c>
      <c r="B29" s="23">
        <v>0.5</v>
      </c>
      <c r="C29" s="23">
        <v>0.25</v>
      </c>
      <c r="D29" s="23">
        <v>1</v>
      </c>
      <c r="E29" s="23">
        <v>1</v>
      </c>
      <c r="F29" s="23">
        <v>1</v>
      </c>
      <c r="G29" s="23">
        <v>0.66666666666666674</v>
      </c>
      <c r="H29" s="23">
        <v>0</v>
      </c>
      <c r="I29" s="23">
        <v>0.75</v>
      </c>
      <c r="J29" s="23">
        <v>0</v>
      </c>
      <c r="K29" s="23">
        <v>0.33333333333333343</v>
      </c>
      <c r="L29" s="23">
        <v>0.5</v>
      </c>
      <c r="M29" s="23">
        <v>1</v>
      </c>
      <c r="N29" s="23">
        <v>0.25</v>
      </c>
      <c r="O29" s="23">
        <v>0.33333333333333343</v>
      </c>
      <c r="P29" s="23">
        <v>0</v>
      </c>
      <c r="Q29" s="23">
        <v>0.33333333333333343</v>
      </c>
      <c r="R29" s="23">
        <v>0</v>
      </c>
      <c r="S29" s="23">
        <v>0.66666666666666663</v>
      </c>
      <c r="T29" s="23">
        <v>0.25</v>
      </c>
      <c r="U29" s="23">
        <v>0.75</v>
      </c>
      <c r="V29" s="23">
        <v>0.5</v>
      </c>
    </row>
    <row r="30" spans="1:22" ht="15.75" customHeight="1">
      <c r="A30" s="23">
        <v>0</v>
      </c>
      <c r="B30" s="23">
        <v>0.25</v>
      </c>
      <c r="C30" s="23">
        <v>0.25</v>
      </c>
      <c r="D30" s="23">
        <v>1</v>
      </c>
      <c r="E30" s="23">
        <v>1</v>
      </c>
      <c r="F30" s="23">
        <v>0</v>
      </c>
      <c r="G30" s="23">
        <v>1</v>
      </c>
      <c r="H30" s="23">
        <v>0.5</v>
      </c>
      <c r="I30" s="23">
        <v>0.75</v>
      </c>
      <c r="J30" s="23">
        <v>0</v>
      </c>
      <c r="K30" s="23">
        <v>0.33333333333333343</v>
      </c>
      <c r="L30" s="23">
        <v>0.5</v>
      </c>
      <c r="M30" s="23">
        <v>1</v>
      </c>
      <c r="N30" s="23">
        <v>0.5</v>
      </c>
      <c r="O30" s="23">
        <v>0.99999999999999989</v>
      </c>
      <c r="P30" s="23">
        <v>0.33333333333333343</v>
      </c>
      <c r="Q30" s="23">
        <v>0.33333333333333343</v>
      </c>
      <c r="R30" s="23">
        <v>0.33333333333333343</v>
      </c>
      <c r="S30" s="23">
        <v>0.66666666666666663</v>
      </c>
      <c r="T30" s="23">
        <v>0.75</v>
      </c>
      <c r="U30" s="23">
        <v>1</v>
      </c>
      <c r="V30" s="23">
        <v>0.5</v>
      </c>
    </row>
    <row r="31" spans="1:22" ht="15.75" customHeight="1">
      <c r="A31" s="23">
        <v>0.5</v>
      </c>
      <c r="B31" s="23">
        <v>0.25</v>
      </c>
      <c r="C31" s="23">
        <v>0.25</v>
      </c>
      <c r="D31" s="23">
        <v>1</v>
      </c>
      <c r="E31" s="23">
        <v>1</v>
      </c>
      <c r="F31" s="23">
        <v>0</v>
      </c>
      <c r="G31" s="23">
        <v>0.33333333333333331</v>
      </c>
      <c r="H31" s="23">
        <v>0.25</v>
      </c>
      <c r="I31" s="23">
        <v>0.75</v>
      </c>
      <c r="J31" s="23">
        <v>0.33333333333333343</v>
      </c>
      <c r="K31" s="23">
        <v>0</v>
      </c>
      <c r="L31" s="23">
        <v>0.25</v>
      </c>
      <c r="M31" s="23">
        <v>0.33333333333333331</v>
      </c>
      <c r="N31" s="23">
        <v>0.5</v>
      </c>
      <c r="O31" s="23">
        <v>0.66666666666666663</v>
      </c>
      <c r="P31" s="23">
        <v>0.99999999999999989</v>
      </c>
      <c r="Q31" s="23">
        <v>0.66666666666666663</v>
      </c>
      <c r="R31" s="23">
        <v>0.66666666666666663</v>
      </c>
      <c r="S31" s="23">
        <v>0.66666666666666663</v>
      </c>
      <c r="T31" s="23">
        <v>0.5</v>
      </c>
      <c r="U31" s="23">
        <v>0.5</v>
      </c>
      <c r="V31" s="23">
        <v>0.75</v>
      </c>
    </row>
    <row r="32" spans="1:22" ht="15.75" customHeight="1">
      <c r="A32" s="23">
        <v>1</v>
      </c>
      <c r="B32" s="23">
        <v>0.25</v>
      </c>
      <c r="C32" s="23">
        <v>0.25</v>
      </c>
      <c r="D32" s="23">
        <v>1</v>
      </c>
      <c r="E32" s="23">
        <v>1</v>
      </c>
      <c r="F32" s="23">
        <v>0</v>
      </c>
      <c r="G32" s="23">
        <v>0.33333333333333331</v>
      </c>
      <c r="H32" s="23">
        <v>0</v>
      </c>
      <c r="I32" s="23">
        <v>0.5</v>
      </c>
      <c r="J32" s="23">
        <v>0.33333333333333343</v>
      </c>
      <c r="K32" s="23">
        <v>0.33333333333333343</v>
      </c>
      <c r="L32" s="23">
        <v>0.5</v>
      </c>
      <c r="M32" s="23">
        <v>0.33333333333333331</v>
      </c>
      <c r="N32" s="23">
        <v>0.75</v>
      </c>
      <c r="O32" s="23">
        <v>0.99999999999999989</v>
      </c>
      <c r="P32" s="23">
        <v>0.33333333333333343</v>
      </c>
      <c r="Q32" s="23">
        <v>0</v>
      </c>
      <c r="R32" s="23">
        <v>0.33333333333333343</v>
      </c>
      <c r="S32" s="23">
        <v>0.33333333333333343</v>
      </c>
      <c r="T32" s="23">
        <v>0.5</v>
      </c>
      <c r="U32" s="23">
        <v>0.75</v>
      </c>
      <c r="V32" s="23">
        <v>0.5</v>
      </c>
    </row>
    <row r="33" spans="1:22" ht="15.75" customHeight="1">
      <c r="A33" s="23">
        <v>0.25</v>
      </c>
      <c r="B33" s="23">
        <v>0.25</v>
      </c>
      <c r="C33" s="23">
        <v>0.25</v>
      </c>
      <c r="D33" s="23">
        <v>1</v>
      </c>
      <c r="E33" s="23">
        <v>1</v>
      </c>
      <c r="F33" s="23">
        <v>0</v>
      </c>
      <c r="G33" s="23">
        <v>0.33333333333333331</v>
      </c>
      <c r="H33" s="23">
        <v>0.5</v>
      </c>
      <c r="I33" s="23">
        <v>0.75</v>
      </c>
      <c r="J33" s="23">
        <v>0</v>
      </c>
      <c r="K33" s="23">
        <v>0.33333333333333343</v>
      </c>
      <c r="L33" s="23">
        <v>0.5</v>
      </c>
      <c r="M33" s="23">
        <v>0.66666666666666674</v>
      </c>
      <c r="N33" s="23">
        <v>0.5</v>
      </c>
      <c r="O33" s="23">
        <v>0.66666666666666663</v>
      </c>
      <c r="P33" s="23">
        <v>0.33333333333333343</v>
      </c>
      <c r="Q33" s="23">
        <v>0.66666666666666663</v>
      </c>
      <c r="R33" s="23">
        <v>0</v>
      </c>
      <c r="S33" s="23">
        <v>0.66666666666666663</v>
      </c>
      <c r="T33" s="23">
        <v>0.5</v>
      </c>
      <c r="U33" s="23">
        <v>0.5</v>
      </c>
      <c r="V33" s="23">
        <v>0.5</v>
      </c>
    </row>
    <row r="34" spans="1:22" ht="15.75" customHeight="1">
      <c r="A34" s="23">
        <v>0.25</v>
      </c>
      <c r="B34" s="23">
        <v>0.25</v>
      </c>
      <c r="C34" s="23">
        <v>0.25</v>
      </c>
      <c r="D34" s="23">
        <v>1</v>
      </c>
      <c r="E34" s="23">
        <v>1</v>
      </c>
      <c r="F34" s="23">
        <v>0</v>
      </c>
      <c r="G34" s="23">
        <v>0</v>
      </c>
      <c r="H34" s="23">
        <v>0.5</v>
      </c>
      <c r="I34" s="23">
        <v>0.5</v>
      </c>
      <c r="J34" s="23">
        <v>0.33333333333333343</v>
      </c>
      <c r="K34" s="23">
        <v>0.66666666666666663</v>
      </c>
      <c r="L34" s="23">
        <v>0.5</v>
      </c>
      <c r="M34" s="23">
        <v>0.66666666666666674</v>
      </c>
      <c r="N34" s="23">
        <v>0.25</v>
      </c>
      <c r="O34" s="23">
        <v>0.33333333333333343</v>
      </c>
      <c r="P34" s="23">
        <v>0.66666666666666663</v>
      </c>
      <c r="Q34" s="23">
        <v>0</v>
      </c>
      <c r="R34" s="23">
        <v>0.33333333333333343</v>
      </c>
      <c r="S34" s="23">
        <v>0.66666666666666663</v>
      </c>
      <c r="T34" s="23">
        <v>0.25</v>
      </c>
      <c r="U34" s="23">
        <v>0.75</v>
      </c>
      <c r="V34" s="23">
        <v>0.5</v>
      </c>
    </row>
    <row r="35" spans="1:22" ht="15.75" customHeight="1">
      <c r="A35" s="23">
        <v>0</v>
      </c>
      <c r="B35" s="23">
        <v>0.5</v>
      </c>
      <c r="C35" s="23">
        <v>0.25</v>
      </c>
      <c r="D35" s="23">
        <v>0</v>
      </c>
      <c r="E35" s="23">
        <v>0</v>
      </c>
      <c r="F35" s="23">
        <v>0</v>
      </c>
      <c r="G35" s="23">
        <v>0.66666666666666674</v>
      </c>
      <c r="H35" s="23">
        <v>0.75</v>
      </c>
      <c r="I35" s="23">
        <v>0.25</v>
      </c>
      <c r="J35" s="23">
        <v>0.66666666666666663</v>
      </c>
      <c r="K35" s="23">
        <v>0.33333333333333343</v>
      </c>
      <c r="L35" s="23">
        <v>1</v>
      </c>
      <c r="M35" s="23">
        <v>0.66666666666666674</v>
      </c>
      <c r="N35" s="23">
        <v>0.75</v>
      </c>
      <c r="O35" s="23">
        <v>0.99999999999999989</v>
      </c>
      <c r="P35" s="23">
        <v>0.99999999999999989</v>
      </c>
      <c r="Q35" s="23">
        <v>0.66666666666666663</v>
      </c>
      <c r="R35" s="23">
        <v>0.33333333333333343</v>
      </c>
      <c r="S35" s="23">
        <v>0.99999999999999989</v>
      </c>
      <c r="T35" s="23">
        <v>0.75</v>
      </c>
      <c r="U35" s="23">
        <v>0.75</v>
      </c>
      <c r="V35" s="23">
        <v>1</v>
      </c>
    </row>
    <row r="36" spans="1:22" ht="15.75" customHeight="1">
      <c r="A36" s="23">
        <v>0.25</v>
      </c>
      <c r="B36" s="23">
        <v>0.5</v>
      </c>
      <c r="C36" s="23">
        <v>0.25</v>
      </c>
      <c r="D36" s="23">
        <v>0</v>
      </c>
      <c r="E36" s="23">
        <v>0</v>
      </c>
      <c r="F36" s="23">
        <v>0</v>
      </c>
      <c r="G36" s="23">
        <v>1</v>
      </c>
      <c r="H36" s="23">
        <v>0.75</v>
      </c>
      <c r="I36" s="23">
        <v>0.25</v>
      </c>
      <c r="J36" s="23">
        <v>0.66666666666666663</v>
      </c>
      <c r="K36" s="23">
        <v>0.33333333333333343</v>
      </c>
      <c r="L36" s="23">
        <v>1</v>
      </c>
      <c r="M36" s="23">
        <v>0.66666666666666674</v>
      </c>
      <c r="N36" s="23">
        <v>1</v>
      </c>
      <c r="O36" s="23">
        <v>0.33333333333333343</v>
      </c>
      <c r="P36" s="23">
        <v>0.99999999999999989</v>
      </c>
      <c r="Q36" s="23">
        <v>0.99999999999999989</v>
      </c>
      <c r="R36" s="23">
        <v>0.66666666666666663</v>
      </c>
      <c r="S36" s="23">
        <v>0.99999999999999989</v>
      </c>
      <c r="T36" s="23">
        <v>0.5</v>
      </c>
      <c r="U36" s="23">
        <v>0.75</v>
      </c>
      <c r="V36" s="23">
        <v>1</v>
      </c>
    </row>
    <row r="37" spans="1:22" ht="15.75" customHeight="1">
      <c r="A37" s="23">
        <v>0.25</v>
      </c>
      <c r="B37" s="23">
        <v>0.5</v>
      </c>
      <c r="C37" s="23">
        <v>0.25</v>
      </c>
      <c r="D37" s="23">
        <v>0</v>
      </c>
      <c r="E37" s="23">
        <v>0</v>
      </c>
      <c r="F37" s="23">
        <v>0</v>
      </c>
      <c r="G37" s="23">
        <v>1</v>
      </c>
      <c r="H37" s="23">
        <v>0.75</v>
      </c>
      <c r="I37" s="23">
        <v>0.25</v>
      </c>
      <c r="J37" s="23">
        <v>0.66666666666666663</v>
      </c>
      <c r="K37" s="23">
        <v>0.33333333333333343</v>
      </c>
      <c r="L37" s="23">
        <v>1</v>
      </c>
      <c r="M37" s="23">
        <v>0.66666666666666674</v>
      </c>
      <c r="N37" s="23">
        <v>1</v>
      </c>
      <c r="O37" s="23">
        <v>0.33333333333333343</v>
      </c>
      <c r="P37" s="23">
        <v>0.99999999999999989</v>
      </c>
      <c r="Q37" s="23">
        <v>0.99999999999999989</v>
      </c>
      <c r="R37" s="23">
        <v>0.66666666666666663</v>
      </c>
      <c r="S37" s="23">
        <v>0.99999999999999989</v>
      </c>
      <c r="T37" s="23">
        <v>0.5</v>
      </c>
      <c r="U37" s="23">
        <v>0.75</v>
      </c>
      <c r="V37" s="23">
        <v>1</v>
      </c>
    </row>
    <row r="38" spans="1:22" ht="15.75" customHeight="1">
      <c r="A38" s="23">
        <v>0.5</v>
      </c>
      <c r="B38" s="23">
        <v>0.25</v>
      </c>
      <c r="C38" s="23">
        <v>0.25</v>
      </c>
      <c r="D38" s="23">
        <v>1</v>
      </c>
      <c r="E38" s="23">
        <v>1</v>
      </c>
      <c r="F38" s="23">
        <v>0</v>
      </c>
      <c r="G38" s="23">
        <v>0</v>
      </c>
      <c r="H38" s="23">
        <v>0.5</v>
      </c>
      <c r="I38" s="23">
        <v>0.5</v>
      </c>
      <c r="J38" s="23">
        <v>0.66666666666666663</v>
      </c>
      <c r="K38" s="23">
        <v>0</v>
      </c>
      <c r="L38" s="23">
        <v>0.5</v>
      </c>
      <c r="M38" s="23">
        <v>0.33333333333333331</v>
      </c>
      <c r="N38" s="23">
        <v>0.5</v>
      </c>
      <c r="O38" s="23">
        <v>0.66666666666666663</v>
      </c>
      <c r="P38" s="23">
        <v>0.33333333333333343</v>
      </c>
      <c r="Q38" s="23">
        <v>0.33333333333333343</v>
      </c>
      <c r="R38" s="23">
        <v>0.33333333333333343</v>
      </c>
      <c r="S38" s="23">
        <v>0.66666666666666663</v>
      </c>
      <c r="T38" s="23">
        <v>0.75</v>
      </c>
      <c r="U38" s="23">
        <v>0.5</v>
      </c>
      <c r="V38" s="23">
        <v>0.5</v>
      </c>
    </row>
    <row r="39" spans="1:22" ht="15.75" customHeight="1">
      <c r="A39" s="23">
        <v>0.5</v>
      </c>
      <c r="B39" s="23">
        <v>0.5</v>
      </c>
      <c r="C39" s="23">
        <v>0.25</v>
      </c>
      <c r="D39" s="23">
        <v>1</v>
      </c>
      <c r="E39" s="23">
        <v>1</v>
      </c>
      <c r="F39" s="23">
        <v>1</v>
      </c>
      <c r="G39" s="23">
        <v>0.66666666666666674</v>
      </c>
      <c r="H39" s="23">
        <v>0.75</v>
      </c>
      <c r="I39" s="23">
        <v>0.5</v>
      </c>
      <c r="J39" s="23">
        <v>0.66666666666666663</v>
      </c>
      <c r="K39" s="23">
        <v>0.66666666666666663</v>
      </c>
      <c r="L39" s="23">
        <v>0.75</v>
      </c>
      <c r="M39" s="23">
        <v>0.66666666666666674</v>
      </c>
      <c r="N39" s="23">
        <v>0.5</v>
      </c>
      <c r="O39" s="23">
        <v>0.66666666666666663</v>
      </c>
      <c r="P39" s="23">
        <v>0.66666666666666663</v>
      </c>
      <c r="Q39" s="23">
        <v>0.66666666666666663</v>
      </c>
      <c r="R39" s="23">
        <v>0.99999999999999989</v>
      </c>
      <c r="S39" s="23">
        <v>0.99999999999999989</v>
      </c>
      <c r="T39" s="23">
        <v>0.75</v>
      </c>
      <c r="U39" s="23">
        <v>0.5</v>
      </c>
      <c r="V39" s="23">
        <v>0.75</v>
      </c>
    </row>
    <row r="40" spans="1:22" ht="15.75" customHeight="1">
      <c r="A40" s="23">
        <v>1</v>
      </c>
      <c r="B40" s="23">
        <v>0.25</v>
      </c>
      <c r="C40" s="23">
        <v>0.25</v>
      </c>
      <c r="D40" s="23">
        <v>1</v>
      </c>
      <c r="E40" s="23">
        <v>1</v>
      </c>
      <c r="F40" s="23">
        <v>0</v>
      </c>
      <c r="G40" s="23">
        <v>0.33333333333333331</v>
      </c>
      <c r="H40" s="23">
        <v>0.25</v>
      </c>
      <c r="I40" s="23">
        <v>0.5</v>
      </c>
      <c r="J40" s="23">
        <v>0</v>
      </c>
      <c r="K40" s="23">
        <v>0.66666666666666663</v>
      </c>
      <c r="L40" s="23">
        <v>0.5</v>
      </c>
      <c r="M40" s="23">
        <v>0.66666666666666674</v>
      </c>
      <c r="N40" s="23">
        <v>0.5</v>
      </c>
      <c r="O40" s="23">
        <v>0.66666666666666663</v>
      </c>
      <c r="P40" s="23">
        <v>0.33333333333333343</v>
      </c>
      <c r="Q40" s="23">
        <v>0.33333333333333343</v>
      </c>
      <c r="R40" s="23">
        <v>0.33333333333333343</v>
      </c>
      <c r="S40" s="23">
        <v>0.33333333333333343</v>
      </c>
      <c r="T40" s="23">
        <v>0.25</v>
      </c>
      <c r="U40" s="23">
        <v>0.75</v>
      </c>
      <c r="V40" s="23">
        <v>0.5</v>
      </c>
    </row>
    <row r="41" spans="1:22" ht="15.75" customHeight="1">
      <c r="A41" s="23">
        <v>0.5</v>
      </c>
      <c r="B41" s="23">
        <v>0.5</v>
      </c>
      <c r="C41" s="23">
        <v>0.25</v>
      </c>
      <c r="D41" s="23">
        <v>1</v>
      </c>
      <c r="E41" s="23">
        <v>1</v>
      </c>
      <c r="F41" s="23">
        <v>1</v>
      </c>
      <c r="G41" s="23">
        <v>0.66666666666666674</v>
      </c>
      <c r="H41" s="23">
        <v>0.75</v>
      </c>
      <c r="I41" s="23">
        <v>0.25</v>
      </c>
      <c r="J41" s="23">
        <v>0</v>
      </c>
      <c r="K41" s="23">
        <v>0.33333333333333343</v>
      </c>
      <c r="L41" s="23">
        <v>0.75</v>
      </c>
      <c r="M41" s="23">
        <v>1</v>
      </c>
      <c r="N41" s="23">
        <v>0.75</v>
      </c>
      <c r="O41" s="23">
        <v>0</v>
      </c>
      <c r="P41" s="23">
        <v>0.66666666666666663</v>
      </c>
      <c r="Q41" s="23">
        <v>0</v>
      </c>
      <c r="R41" s="23">
        <v>0.66666666666666663</v>
      </c>
      <c r="S41" s="23">
        <v>0.33333333333333343</v>
      </c>
      <c r="T41" s="23">
        <v>0.75</v>
      </c>
      <c r="U41" s="23">
        <v>0.5</v>
      </c>
      <c r="V41" s="23">
        <v>0.75</v>
      </c>
    </row>
    <row r="42" spans="1:22" ht="15.75" customHeight="1">
      <c r="A42" s="23">
        <v>0</v>
      </c>
      <c r="B42" s="23">
        <v>1</v>
      </c>
      <c r="C42" s="23">
        <v>0.25</v>
      </c>
      <c r="D42" s="23">
        <v>0</v>
      </c>
      <c r="E42" s="23">
        <v>1</v>
      </c>
      <c r="F42" s="23">
        <v>0</v>
      </c>
      <c r="G42" s="23">
        <v>0</v>
      </c>
      <c r="H42" s="23">
        <v>0.5</v>
      </c>
      <c r="I42" s="23">
        <v>0.5</v>
      </c>
      <c r="J42" s="23">
        <v>0.33333333333333343</v>
      </c>
      <c r="K42" s="23">
        <v>0</v>
      </c>
      <c r="L42" s="23">
        <v>0.25</v>
      </c>
      <c r="M42" s="23">
        <v>0.66666666666666674</v>
      </c>
      <c r="N42" s="23">
        <v>0.5</v>
      </c>
      <c r="O42" s="23">
        <v>0.33333333333333343</v>
      </c>
      <c r="P42" s="23">
        <v>0.66666666666666663</v>
      </c>
      <c r="Q42" s="23">
        <v>0.33333333333333343</v>
      </c>
      <c r="R42" s="23">
        <v>0.33333333333333343</v>
      </c>
      <c r="S42" s="23">
        <v>0.66666666666666663</v>
      </c>
      <c r="T42" s="23">
        <v>0.75</v>
      </c>
      <c r="U42" s="23">
        <v>0.75</v>
      </c>
      <c r="V42" s="23">
        <v>0.5</v>
      </c>
    </row>
    <row r="43" spans="1:22" ht="15.75" customHeight="1">
      <c r="A43" s="23">
        <v>0.25</v>
      </c>
      <c r="B43" s="23">
        <v>0.25</v>
      </c>
      <c r="C43" s="23">
        <v>0.25</v>
      </c>
      <c r="D43" s="23">
        <v>1</v>
      </c>
      <c r="E43" s="23">
        <v>1</v>
      </c>
      <c r="F43" s="23">
        <v>0</v>
      </c>
      <c r="G43" s="23">
        <v>0.33333333333333331</v>
      </c>
      <c r="H43" s="23">
        <v>0.5</v>
      </c>
      <c r="I43" s="23">
        <v>0.75</v>
      </c>
      <c r="J43" s="23">
        <v>0</v>
      </c>
      <c r="K43" s="23">
        <v>0.66666666666666663</v>
      </c>
      <c r="L43" s="23">
        <v>0.5</v>
      </c>
      <c r="M43" s="23">
        <v>0.66666666666666674</v>
      </c>
      <c r="N43" s="23">
        <v>0.5</v>
      </c>
      <c r="O43" s="23">
        <v>0.33333333333333343</v>
      </c>
      <c r="P43" s="23">
        <v>0.99999999999999989</v>
      </c>
      <c r="Q43" s="23">
        <v>0.99999999999999989</v>
      </c>
      <c r="R43" s="23">
        <v>0.33333333333333343</v>
      </c>
      <c r="S43" s="23">
        <v>0.33333333333333343</v>
      </c>
      <c r="T43" s="23">
        <v>0.25</v>
      </c>
      <c r="U43" s="23">
        <v>0.5</v>
      </c>
      <c r="V43" s="23">
        <v>0.5</v>
      </c>
    </row>
    <row r="44" spans="1:22" ht="15.75" customHeight="1">
      <c r="A44" s="23">
        <v>0.25</v>
      </c>
      <c r="B44" s="23">
        <v>0.25</v>
      </c>
      <c r="C44" s="23">
        <v>0.25</v>
      </c>
      <c r="D44" s="23">
        <v>1</v>
      </c>
      <c r="E44" s="23">
        <v>1</v>
      </c>
      <c r="F44" s="23">
        <v>0</v>
      </c>
      <c r="G44" s="23">
        <v>0.66666666666666674</v>
      </c>
      <c r="H44" s="23">
        <v>0.75</v>
      </c>
      <c r="I44" s="23">
        <v>0.5</v>
      </c>
      <c r="J44" s="23">
        <v>0.33333333333333343</v>
      </c>
      <c r="K44" s="23">
        <v>0.33333333333333343</v>
      </c>
      <c r="L44" s="23">
        <v>0.5</v>
      </c>
      <c r="M44" s="23">
        <v>0.66666666666666674</v>
      </c>
      <c r="N44" s="23">
        <v>0.25</v>
      </c>
      <c r="O44" s="23">
        <v>0.33333333333333343</v>
      </c>
      <c r="P44" s="23">
        <v>0.66666666666666663</v>
      </c>
      <c r="Q44" s="23">
        <v>0.33333333333333343</v>
      </c>
      <c r="R44" s="23">
        <v>0.33333333333333343</v>
      </c>
      <c r="S44" s="23">
        <v>0.66666666666666663</v>
      </c>
      <c r="T44" s="23">
        <v>0.5</v>
      </c>
      <c r="U44" s="23">
        <v>0.5</v>
      </c>
      <c r="V44" s="23">
        <v>0.5</v>
      </c>
    </row>
    <row r="45" spans="1:22" ht="15.75" customHeight="1">
      <c r="A45" s="23">
        <v>0</v>
      </c>
      <c r="B45" s="23">
        <v>0.25</v>
      </c>
      <c r="C45" s="23">
        <v>0.25</v>
      </c>
      <c r="D45" s="23">
        <v>1</v>
      </c>
      <c r="E45" s="23">
        <v>1</v>
      </c>
      <c r="F45" s="23">
        <v>1</v>
      </c>
      <c r="G45" s="23">
        <v>1</v>
      </c>
      <c r="H45" s="23">
        <v>0.5</v>
      </c>
      <c r="I45" s="23">
        <v>0.5</v>
      </c>
      <c r="J45" s="23">
        <v>0.66666666666666663</v>
      </c>
      <c r="K45" s="23">
        <v>0.66666666666666663</v>
      </c>
      <c r="L45" s="23">
        <v>0.75</v>
      </c>
      <c r="M45" s="23">
        <v>1</v>
      </c>
      <c r="N45" s="23">
        <v>0.5</v>
      </c>
      <c r="O45" s="23">
        <v>0.66666666666666663</v>
      </c>
      <c r="P45" s="23">
        <v>0.66666666666666663</v>
      </c>
      <c r="Q45" s="23">
        <v>0.33333333333333343</v>
      </c>
      <c r="R45" s="23">
        <v>0.99999999999999989</v>
      </c>
      <c r="S45" s="23">
        <v>0.66666666666666663</v>
      </c>
      <c r="T45" s="23">
        <v>0.5</v>
      </c>
      <c r="U45" s="23">
        <v>0.25</v>
      </c>
      <c r="V45" s="23">
        <v>0.5</v>
      </c>
    </row>
    <row r="46" spans="1:22" ht="15.75" customHeight="1">
      <c r="A46" s="23">
        <v>0.5</v>
      </c>
      <c r="B46" s="23">
        <v>0.25</v>
      </c>
      <c r="C46" s="23">
        <v>0.25</v>
      </c>
      <c r="D46" s="23">
        <v>1</v>
      </c>
      <c r="E46" s="23">
        <v>1</v>
      </c>
      <c r="F46" s="23">
        <v>0</v>
      </c>
      <c r="G46" s="23">
        <v>0</v>
      </c>
      <c r="H46" s="23">
        <v>0.5</v>
      </c>
      <c r="I46" s="23">
        <v>0.5</v>
      </c>
      <c r="J46" s="23">
        <v>0.33333333333333343</v>
      </c>
      <c r="K46" s="23">
        <v>0.66666666666666663</v>
      </c>
      <c r="L46" s="23">
        <v>0.5</v>
      </c>
      <c r="M46" s="23">
        <v>0.66666666666666674</v>
      </c>
      <c r="N46" s="23">
        <v>0.5</v>
      </c>
      <c r="O46" s="23">
        <v>0.33333333333333343</v>
      </c>
      <c r="P46" s="23">
        <v>0.99999999999999989</v>
      </c>
      <c r="Q46" s="23">
        <v>0.33333333333333343</v>
      </c>
      <c r="R46" s="23">
        <v>0.66666666666666663</v>
      </c>
      <c r="S46" s="23">
        <v>0.66666666666666663</v>
      </c>
      <c r="T46" s="23">
        <v>0.5</v>
      </c>
      <c r="U46" s="23">
        <v>0.25</v>
      </c>
      <c r="V46" s="23">
        <v>0.75</v>
      </c>
    </row>
    <row r="47" spans="1:22" ht="15.75" customHeight="1">
      <c r="A47" s="23">
        <v>0.25</v>
      </c>
      <c r="B47" s="23">
        <v>1</v>
      </c>
      <c r="C47" s="23">
        <v>0.25</v>
      </c>
      <c r="D47" s="23">
        <v>1</v>
      </c>
      <c r="E47" s="23">
        <v>0</v>
      </c>
      <c r="F47" s="23">
        <v>0</v>
      </c>
      <c r="G47" s="23">
        <v>0.66666666666666674</v>
      </c>
      <c r="H47" s="23">
        <v>0.75</v>
      </c>
      <c r="I47" s="23">
        <v>0.75</v>
      </c>
      <c r="J47" s="23">
        <v>0.33333333333333343</v>
      </c>
      <c r="K47" s="23">
        <v>0.99999999999999989</v>
      </c>
      <c r="L47" s="23">
        <v>0.75</v>
      </c>
      <c r="M47" s="23">
        <v>1</v>
      </c>
      <c r="N47" s="23">
        <v>1</v>
      </c>
      <c r="O47" s="23">
        <v>0.33333333333333343</v>
      </c>
      <c r="P47" s="23">
        <v>0.66666666666666663</v>
      </c>
      <c r="Q47" s="23">
        <v>0.66666666666666663</v>
      </c>
      <c r="R47" s="23">
        <v>0.33333333333333343</v>
      </c>
      <c r="S47" s="23">
        <v>0.99999999999999989</v>
      </c>
      <c r="T47" s="23">
        <v>0.25</v>
      </c>
      <c r="U47" s="23">
        <v>0.75</v>
      </c>
      <c r="V47" s="23">
        <v>0.75</v>
      </c>
    </row>
    <row r="48" spans="1:22" ht="15.75" customHeight="1">
      <c r="A48" s="23">
        <v>0</v>
      </c>
      <c r="B48" s="23">
        <v>1</v>
      </c>
      <c r="C48" s="23">
        <v>1</v>
      </c>
      <c r="D48" s="23">
        <v>1</v>
      </c>
      <c r="E48" s="23">
        <v>1</v>
      </c>
      <c r="F48" s="23">
        <v>0</v>
      </c>
      <c r="G48" s="23">
        <v>0.66666666666666674</v>
      </c>
      <c r="H48" s="23">
        <v>0.75</v>
      </c>
      <c r="I48" s="23">
        <v>0.25</v>
      </c>
      <c r="J48" s="23">
        <v>0</v>
      </c>
      <c r="K48" s="23">
        <v>0.33333333333333343</v>
      </c>
      <c r="L48" s="23">
        <v>0.5</v>
      </c>
      <c r="M48" s="23">
        <v>0.33333333333333331</v>
      </c>
      <c r="N48" s="23">
        <v>0.75</v>
      </c>
      <c r="O48" s="23">
        <v>0.66666666666666663</v>
      </c>
      <c r="P48" s="23">
        <v>0.66666666666666663</v>
      </c>
      <c r="Q48" s="23">
        <v>0.66666666666666663</v>
      </c>
      <c r="R48" s="23">
        <v>0.33333333333333343</v>
      </c>
      <c r="S48" s="23">
        <v>0.66666666666666663</v>
      </c>
      <c r="T48" s="23">
        <v>0.75</v>
      </c>
      <c r="U48" s="23">
        <v>1</v>
      </c>
      <c r="V48" s="23">
        <v>0.5</v>
      </c>
    </row>
    <row r="49" spans="1:23" ht="15.75" customHeight="1">
      <c r="A49" s="23">
        <v>0.5</v>
      </c>
      <c r="B49" s="23">
        <v>0.5</v>
      </c>
      <c r="C49" s="23">
        <v>0.25</v>
      </c>
      <c r="D49" s="23">
        <v>1</v>
      </c>
      <c r="E49" s="23">
        <v>1</v>
      </c>
      <c r="F49" s="23">
        <v>0</v>
      </c>
      <c r="G49" s="23">
        <v>0.66666666666666674</v>
      </c>
      <c r="H49" s="23">
        <v>1</v>
      </c>
      <c r="I49" s="23">
        <v>1</v>
      </c>
      <c r="J49" s="23">
        <v>0.33333333333333343</v>
      </c>
      <c r="K49" s="23">
        <v>0.33333333333333343</v>
      </c>
      <c r="L49" s="23">
        <v>0.25</v>
      </c>
      <c r="M49" s="23">
        <v>0.66666666666666674</v>
      </c>
      <c r="N49" s="23">
        <v>0.75</v>
      </c>
      <c r="O49" s="23">
        <v>0.99999999999999989</v>
      </c>
      <c r="P49" s="23">
        <v>0.99999999999999989</v>
      </c>
      <c r="Q49" s="23">
        <v>0.66666666666666663</v>
      </c>
      <c r="R49" s="23">
        <v>0.66666666666666663</v>
      </c>
      <c r="S49" s="23">
        <v>0.66666666666666663</v>
      </c>
      <c r="T49" s="23">
        <v>0.5</v>
      </c>
      <c r="U49" s="23">
        <v>0.75</v>
      </c>
      <c r="V49" s="23">
        <v>0.75</v>
      </c>
    </row>
    <row r="50" spans="1:23" ht="15.75" customHeight="1">
      <c r="A50" s="23">
        <v>0.25</v>
      </c>
      <c r="B50" s="23">
        <v>0.25</v>
      </c>
      <c r="C50" s="23">
        <v>0.25</v>
      </c>
      <c r="D50" s="23">
        <v>1</v>
      </c>
      <c r="E50" s="23">
        <v>1</v>
      </c>
      <c r="F50" s="23">
        <v>0</v>
      </c>
      <c r="G50" s="23">
        <v>0.33333333333333331</v>
      </c>
      <c r="H50" s="23">
        <v>0.75</v>
      </c>
      <c r="I50" s="23">
        <v>0.75</v>
      </c>
      <c r="J50" s="23">
        <v>0</v>
      </c>
      <c r="K50" s="23">
        <v>0.33333333333333343</v>
      </c>
      <c r="L50" s="23">
        <v>0.75</v>
      </c>
      <c r="M50" s="23">
        <v>0.66666666666666674</v>
      </c>
      <c r="N50" s="23">
        <v>0.25</v>
      </c>
      <c r="O50" s="23">
        <v>0</v>
      </c>
      <c r="P50" s="23">
        <v>0.33333333333333343</v>
      </c>
      <c r="Q50" s="23">
        <v>0.33333333333333343</v>
      </c>
      <c r="R50" s="23">
        <v>0.33333333333333343</v>
      </c>
      <c r="S50" s="23">
        <v>0.33333333333333343</v>
      </c>
      <c r="T50" s="23">
        <v>0.25</v>
      </c>
      <c r="U50" s="23">
        <v>0.75</v>
      </c>
      <c r="V50" s="23">
        <v>0.75</v>
      </c>
    </row>
    <row r="51" spans="1:23" ht="15.75" customHeight="1">
      <c r="A51" s="23">
        <v>0</v>
      </c>
      <c r="B51" s="23">
        <v>0.25</v>
      </c>
      <c r="C51" s="23">
        <v>0.25</v>
      </c>
      <c r="D51" s="23">
        <v>1</v>
      </c>
      <c r="E51" s="23">
        <v>1</v>
      </c>
      <c r="F51" s="23">
        <v>1</v>
      </c>
      <c r="G51" s="23">
        <v>1</v>
      </c>
      <c r="H51" s="23">
        <v>0.75</v>
      </c>
      <c r="I51" s="23">
        <v>0.5</v>
      </c>
      <c r="J51" s="23">
        <v>0</v>
      </c>
      <c r="K51" s="23">
        <v>0.33333333333333343</v>
      </c>
      <c r="L51" s="23">
        <v>0.5</v>
      </c>
      <c r="M51" s="23">
        <v>0.66666666666666674</v>
      </c>
      <c r="N51" s="23">
        <v>0.5</v>
      </c>
      <c r="O51" s="23">
        <v>0.33333333333333343</v>
      </c>
      <c r="P51" s="23">
        <v>0.66666666666666663</v>
      </c>
      <c r="Q51" s="23">
        <v>0.33333333333333343</v>
      </c>
      <c r="R51" s="23">
        <v>0.66666666666666663</v>
      </c>
      <c r="S51" s="23">
        <v>0.66666666666666663</v>
      </c>
      <c r="T51" s="23">
        <v>0.75</v>
      </c>
      <c r="U51" s="23">
        <v>0.5</v>
      </c>
      <c r="V51" s="23">
        <v>0.5</v>
      </c>
    </row>
    <row r="52" spans="1:23" ht="15.75" customHeight="1">
      <c r="A52" s="23">
        <v>0.5</v>
      </c>
      <c r="B52" s="23">
        <v>0.5</v>
      </c>
      <c r="C52" s="23">
        <v>0.25</v>
      </c>
      <c r="D52" s="23">
        <v>1</v>
      </c>
      <c r="E52" s="23">
        <v>1</v>
      </c>
      <c r="F52" s="23">
        <v>1</v>
      </c>
      <c r="G52" s="23">
        <v>0.33333333333333331</v>
      </c>
      <c r="H52" s="23">
        <v>0.25</v>
      </c>
      <c r="I52" s="23">
        <v>0.5</v>
      </c>
      <c r="J52" s="23">
        <v>0.33333333333333343</v>
      </c>
      <c r="K52" s="23">
        <v>0.33333333333333343</v>
      </c>
      <c r="L52" s="23">
        <v>0.5</v>
      </c>
      <c r="M52" s="23">
        <v>0.66666666666666674</v>
      </c>
      <c r="N52" s="23">
        <v>0.75</v>
      </c>
      <c r="O52" s="23">
        <v>0</v>
      </c>
      <c r="P52" s="23">
        <v>0.66666666666666663</v>
      </c>
      <c r="Q52" s="23">
        <v>0.33333333333333343</v>
      </c>
      <c r="R52" s="23">
        <v>0.66666666666666663</v>
      </c>
      <c r="S52" s="23">
        <v>0.66666666666666663</v>
      </c>
      <c r="T52" s="23">
        <v>0.25</v>
      </c>
      <c r="U52" s="23">
        <v>0.5</v>
      </c>
      <c r="V52" s="23">
        <v>0.5</v>
      </c>
    </row>
    <row r="53" spans="1:23" ht="15.75" customHeight="1">
      <c r="A53" s="23">
        <v>0.25</v>
      </c>
      <c r="B53" s="23">
        <v>0.25</v>
      </c>
      <c r="C53" s="23">
        <v>0.25</v>
      </c>
      <c r="D53" s="23">
        <v>1</v>
      </c>
      <c r="E53" s="23">
        <v>1</v>
      </c>
      <c r="F53" s="23">
        <v>0</v>
      </c>
      <c r="G53" s="23">
        <v>0</v>
      </c>
      <c r="H53" s="23">
        <v>0.25</v>
      </c>
      <c r="I53" s="23">
        <v>0.5</v>
      </c>
      <c r="J53" s="23">
        <v>0.33333333333333343</v>
      </c>
      <c r="K53" s="23">
        <v>0.66666666666666663</v>
      </c>
      <c r="L53" s="23">
        <v>0.5</v>
      </c>
      <c r="M53" s="23">
        <v>0.66666666666666674</v>
      </c>
      <c r="N53" s="23">
        <v>0.5</v>
      </c>
      <c r="O53" s="23">
        <v>0.66666666666666663</v>
      </c>
      <c r="P53" s="23">
        <v>0.66666666666666663</v>
      </c>
      <c r="Q53" s="23">
        <v>0.33333333333333343</v>
      </c>
      <c r="R53" s="23">
        <v>0</v>
      </c>
      <c r="S53" s="23">
        <v>0.66666666666666663</v>
      </c>
      <c r="T53" s="23">
        <v>0.75</v>
      </c>
      <c r="U53" s="23">
        <v>0.25</v>
      </c>
      <c r="V53" s="23">
        <v>0.5</v>
      </c>
    </row>
    <row r="54" spans="1:23" ht="15.75" customHeight="1">
      <c r="A54" s="23">
        <v>1</v>
      </c>
      <c r="B54" s="23">
        <v>0.25</v>
      </c>
      <c r="C54" s="23">
        <v>0.25</v>
      </c>
      <c r="D54" s="23">
        <v>1</v>
      </c>
      <c r="E54" s="23">
        <v>1</v>
      </c>
      <c r="F54" s="23">
        <v>0</v>
      </c>
      <c r="G54" s="23">
        <v>0.66666666666666674</v>
      </c>
      <c r="H54" s="23">
        <v>0</v>
      </c>
      <c r="I54" s="23">
        <v>0.75</v>
      </c>
      <c r="J54" s="23">
        <v>0.66666666666666663</v>
      </c>
      <c r="K54" s="23">
        <v>0</v>
      </c>
      <c r="L54" s="23">
        <v>0.5</v>
      </c>
      <c r="M54" s="23">
        <v>0.66666666666666674</v>
      </c>
      <c r="N54" s="23">
        <v>0.25</v>
      </c>
      <c r="O54" s="23">
        <v>0.33333333333333343</v>
      </c>
      <c r="P54" s="23">
        <v>0</v>
      </c>
      <c r="Q54" s="23">
        <v>0</v>
      </c>
      <c r="R54" s="23">
        <v>0</v>
      </c>
      <c r="S54" s="23">
        <v>0.66666666666666663</v>
      </c>
      <c r="T54" s="23">
        <v>1</v>
      </c>
      <c r="U54" s="23">
        <v>0.5</v>
      </c>
      <c r="V54" s="23">
        <v>0.5</v>
      </c>
    </row>
    <row r="55" spans="1:23" ht="15.75" customHeight="1">
      <c r="A55" s="23">
        <v>0.5</v>
      </c>
      <c r="B55" s="23">
        <v>0.25</v>
      </c>
      <c r="C55" s="23">
        <v>0.25</v>
      </c>
      <c r="D55" s="23">
        <v>1</v>
      </c>
      <c r="E55" s="23">
        <v>1</v>
      </c>
      <c r="F55" s="23">
        <v>0</v>
      </c>
      <c r="G55" s="23">
        <v>0.33333333333333331</v>
      </c>
      <c r="H55" s="23">
        <v>0.75</v>
      </c>
      <c r="I55" s="23">
        <v>0.5</v>
      </c>
      <c r="J55" s="23">
        <v>0.99999999999999989</v>
      </c>
      <c r="K55" s="23">
        <v>0.33333333333333343</v>
      </c>
      <c r="L55" s="23">
        <v>0.5</v>
      </c>
      <c r="M55" s="23">
        <v>0.66666666666666674</v>
      </c>
      <c r="N55" s="23">
        <v>0.75</v>
      </c>
      <c r="O55" s="23">
        <v>0.99999999999999989</v>
      </c>
      <c r="P55" s="23">
        <v>0.66666666666666663</v>
      </c>
      <c r="Q55" s="23">
        <v>0.33333333333333343</v>
      </c>
      <c r="R55" s="23">
        <v>0.33333333333333343</v>
      </c>
      <c r="S55" s="23">
        <v>0.66666666666666663</v>
      </c>
      <c r="T55" s="23">
        <v>0.5</v>
      </c>
      <c r="U55" s="23">
        <v>0.5</v>
      </c>
      <c r="V55" s="23">
        <v>0.5</v>
      </c>
    </row>
    <row r="56" spans="1:23" ht="15.75" customHeight="1">
      <c r="A56" s="23">
        <v>0.5</v>
      </c>
      <c r="B56" s="23">
        <v>0.25</v>
      </c>
      <c r="C56" s="23">
        <v>0.25</v>
      </c>
      <c r="D56" s="23">
        <v>1</v>
      </c>
      <c r="E56" s="23">
        <v>1</v>
      </c>
      <c r="F56" s="23">
        <v>0</v>
      </c>
      <c r="G56" s="23">
        <v>0.33333333333333331</v>
      </c>
      <c r="H56" s="23">
        <v>0.5</v>
      </c>
      <c r="I56" s="23">
        <v>0.75</v>
      </c>
      <c r="J56" s="23">
        <v>0.99999999999999989</v>
      </c>
      <c r="K56" s="23">
        <v>0.33333333333333343</v>
      </c>
      <c r="L56" s="23">
        <v>0.5</v>
      </c>
      <c r="M56" s="23">
        <v>0.66666666666666674</v>
      </c>
      <c r="N56" s="23">
        <v>0.5</v>
      </c>
      <c r="O56" s="23">
        <v>0.33333333333333343</v>
      </c>
      <c r="P56" s="23">
        <v>0.66666666666666663</v>
      </c>
      <c r="Q56" s="23">
        <v>0.66666666666666663</v>
      </c>
      <c r="R56" s="23">
        <v>0</v>
      </c>
      <c r="S56" s="23">
        <v>0.66666666666666663</v>
      </c>
      <c r="T56" s="23">
        <v>0.75</v>
      </c>
      <c r="U56" s="23">
        <v>0.5</v>
      </c>
      <c r="V56" s="23">
        <v>0.5</v>
      </c>
    </row>
    <row r="57" spans="1:23" ht="15.75" customHeight="1">
      <c r="A57" s="23">
        <v>0.25</v>
      </c>
      <c r="B57" s="23">
        <v>0.5</v>
      </c>
      <c r="C57" s="23">
        <v>0.25</v>
      </c>
      <c r="D57" s="23">
        <v>1</v>
      </c>
      <c r="E57" s="23">
        <v>1</v>
      </c>
      <c r="F57" s="23">
        <v>0</v>
      </c>
      <c r="G57" s="23">
        <v>0.66666666666666674</v>
      </c>
      <c r="H57" s="23">
        <v>0.5</v>
      </c>
      <c r="I57" s="23">
        <v>0.75</v>
      </c>
      <c r="J57" s="23">
        <v>0.33333333333333343</v>
      </c>
      <c r="K57" s="23">
        <v>0.33333333333333343</v>
      </c>
      <c r="L57" s="23">
        <v>0.5</v>
      </c>
      <c r="M57" s="23">
        <v>0.66666666666666674</v>
      </c>
      <c r="N57" s="23">
        <v>0.5</v>
      </c>
      <c r="O57" s="23">
        <v>0.66666666666666663</v>
      </c>
      <c r="P57" s="23">
        <v>0.66666666666666663</v>
      </c>
      <c r="Q57" s="23">
        <v>0.66666666666666663</v>
      </c>
      <c r="R57" s="23">
        <v>0.66666666666666663</v>
      </c>
      <c r="S57" s="23">
        <v>0.66666666666666663</v>
      </c>
      <c r="T57" s="23">
        <v>0.75</v>
      </c>
      <c r="U57" s="23">
        <v>0.75</v>
      </c>
      <c r="V57" s="23">
        <v>0.5</v>
      </c>
    </row>
    <row r="58" spans="1:23" ht="15.75" customHeight="1">
      <c r="A58" s="23">
        <v>0.25</v>
      </c>
      <c r="B58" s="23">
        <v>0.25</v>
      </c>
      <c r="C58" s="23">
        <v>0.25</v>
      </c>
      <c r="D58" s="23">
        <v>1</v>
      </c>
      <c r="E58" s="23">
        <v>1</v>
      </c>
      <c r="F58" s="23">
        <v>0</v>
      </c>
      <c r="G58" s="23">
        <v>0</v>
      </c>
      <c r="H58" s="23">
        <v>0.25</v>
      </c>
      <c r="I58" s="23">
        <v>0.5</v>
      </c>
      <c r="J58" s="23">
        <v>0.33333333333333343</v>
      </c>
      <c r="K58" s="23">
        <v>0</v>
      </c>
      <c r="L58" s="23">
        <v>0.25</v>
      </c>
      <c r="M58" s="23">
        <v>0.33333333333333331</v>
      </c>
      <c r="N58" s="23">
        <v>0.75</v>
      </c>
      <c r="O58" s="23">
        <v>0.99999999999999989</v>
      </c>
      <c r="P58" s="23">
        <v>0.66666666666666663</v>
      </c>
      <c r="Q58" s="23">
        <v>0.33333333333333343</v>
      </c>
      <c r="R58" s="23">
        <v>0.33333333333333343</v>
      </c>
      <c r="S58" s="23">
        <v>0.66666666666666663</v>
      </c>
      <c r="T58" s="23">
        <v>0.75</v>
      </c>
      <c r="U58" s="23">
        <v>0.25</v>
      </c>
      <c r="V58" s="23">
        <v>0.5</v>
      </c>
    </row>
    <row r="59" spans="1:23" ht="15.75" customHeight="1">
      <c r="A59" s="23">
        <v>1</v>
      </c>
      <c r="B59" s="23">
        <v>1</v>
      </c>
      <c r="C59" s="23">
        <v>0.25</v>
      </c>
      <c r="D59" s="23">
        <v>1</v>
      </c>
      <c r="E59" s="23">
        <v>0</v>
      </c>
      <c r="F59" s="23">
        <v>0</v>
      </c>
      <c r="G59" s="23">
        <v>0.66666666666666674</v>
      </c>
      <c r="H59" s="23">
        <v>0.75</v>
      </c>
      <c r="I59" s="23">
        <v>0.25</v>
      </c>
      <c r="J59" s="23">
        <v>0.66666666666666663</v>
      </c>
      <c r="K59" s="23">
        <v>0.33333333333333343</v>
      </c>
      <c r="L59" s="23">
        <v>0.5</v>
      </c>
      <c r="M59" s="23">
        <v>0.66666666666666674</v>
      </c>
      <c r="N59" s="23">
        <v>0.5</v>
      </c>
      <c r="O59" s="23">
        <v>0.33333333333333343</v>
      </c>
      <c r="P59" s="23">
        <v>0.99999999999999989</v>
      </c>
      <c r="Q59" s="23">
        <v>0.33333333333333343</v>
      </c>
      <c r="R59" s="23">
        <v>0.33333333333333343</v>
      </c>
      <c r="S59" s="23">
        <v>0.66666666666666663</v>
      </c>
      <c r="T59" s="23">
        <v>0.5</v>
      </c>
      <c r="U59" s="23">
        <v>0.75</v>
      </c>
      <c r="V59" s="23">
        <v>0.75</v>
      </c>
    </row>
    <row r="60" spans="1:23" ht="15.75" customHeight="1">
      <c r="A60" s="23">
        <v>0.5</v>
      </c>
      <c r="B60" s="23">
        <v>0.5</v>
      </c>
      <c r="C60" s="23">
        <v>0.25</v>
      </c>
      <c r="D60" s="23">
        <v>1</v>
      </c>
      <c r="E60" s="23">
        <v>1</v>
      </c>
      <c r="F60" s="23">
        <v>1</v>
      </c>
      <c r="G60" s="23">
        <v>1</v>
      </c>
      <c r="H60" s="23">
        <v>0.25</v>
      </c>
      <c r="I60" s="23">
        <v>0.5</v>
      </c>
      <c r="J60" s="23">
        <v>0.33333333333333343</v>
      </c>
      <c r="K60" s="23">
        <v>0.66666666666666663</v>
      </c>
      <c r="L60" s="23">
        <v>0.5</v>
      </c>
      <c r="M60" s="23">
        <v>0.66666666666666674</v>
      </c>
      <c r="N60" s="23">
        <v>0.5</v>
      </c>
      <c r="O60" s="23">
        <v>0.66666666666666663</v>
      </c>
      <c r="P60" s="23">
        <v>0.66666666666666663</v>
      </c>
      <c r="Q60" s="23">
        <v>0.33333333333333343</v>
      </c>
      <c r="R60" s="23">
        <v>0.66666666666666663</v>
      </c>
      <c r="S60" s="23">
        <v>0.33333333333333343</v>
      </c>
      <c r="T60" s="23">
        <v>0.25</v>
      </c>
      <c r="U60" s="23">
        <v>0.75</v>
      </c>
      <c r="V60" s="23">
        <v>0.5</v>
      </c>
    </row>
    <row r="61" spans="1:23" ht="15.75" customHeight="1">
      <c r="A61" s="23">
        <v>0</v>
      </c>
      <c r="B61" s="23">
        <v>0.25</v>
      </c>
      <c r="C61" s="23">
        <v>0.25</v>
      </c>
      <c r="D61" s="23">
        <v>1</v>
      </c>
      <c r="E61" s="23">
        <v>1</v>
      </c>
      <c r="F61" s="23">
        <v>1</v>
      </c>
      <c r="G61" s="23">
        <v>0.33333333333333331</v>
      </c>
      <c r="H61" s="23">
        <v>0.5</v>
      </c>
      <c r="I61" s="23">
        <v>0.5</v>
      </c>
      <c r="J61" s="23">
        <v>0.33333333333333343</v>
      </c>
      <c r="K61" s="23">
        <v>0.33333333333333343</v>
      </c>
      <c r="L61" s="23">
        <v>0.5</v>
      </c>
      <c r="M61" s="23">
        <v>1</v>
      </c>
      <c r="N61" s="23">
        <v>0.75</v>
      </c>
      <c r="O61" s="23">
        <v>0.99999999999999989</v>
      </c>
      <c r="P61" s="23">
        <v>0.99999999999999989</v>
      </c>
      <c r="Q61" s="23">
        <v>0.99999999999999989</v>
      </c>
      <c r="R61" s="23">
        <v>0.99999999999999989</v>
      </c>
      <c r="S61" s="23">
        <v>0.66666666666666663</v>
      </c>
      <c r="T61" s="23">
        <v>0.5</v>
      </c>
      <c r="U61" s="23">
        <v>0.25</v>
      </c>
      <c r="V61" s="23">
        <v>0.5</v>
      </c>
    </row>
    <row r="62" spans="1:23" ht="15.75" customHeight="1">
      <c r="A62" s="23">
        <v>0.5</v>
      </c>
      <c r="B62" s="23">
        <v>0.5</v>
      </c>
      <c r="C62" s="23">
        <v>0.25</v>
      </c>
      <c r="D62" s="23">
        <v>1</v>
      </c>
      <c r="E62" s="23">
        <v>1</v>
      </c>
      <c r="F62" s="23">
        <v>1</v>
      </c>
      <c r="G62" s="23">
        <v>1</v>
      </c>
      <c r="H62" s="23">
        <v>0.25</v>
      </c>
      <c r="I62" s="23">
        <v>0.5</v>
      </c>
      <c r="J62" s="23">
        <v>0</v>
      </c>
      <c r="K62" s="23">
        <v>0.33333333333333343</v>
      </c>
      <c r="L62" s="23">
        <v>0.5</v>
      </c>
      <c r="M62" s="23">
        <v>0.33333333333333331</v>
      </c>
      <c r="N62" s="23">
        <v>0.5</v>
      </c>
      <c r="O62" s="23">
        <v>0.99999999999999989</v>
      </c>
      <c r="P62" s="23">
        <v>0.99999999999999989</v>
      </c>
      <c r="Q62" s="23">
        <v>0.66666666666666663</v>
      </c>
      <c r="R62" s="23">
        <v>0.99999999999999989</v>
      </c>
      <c r="S62" s="23">
        <v>0.99999999999999989</v>
      </c>
      <c r="T62" s="23">
        <v>0</v>
      </c>
      <c r="U62" s="23">
        <v>1</v>
      </c>
      <c r="V62" s="23">
        <v>0.75</v>
      </c>
    </row>
    <row r="63" spans="1:23" ht="15.75" customHeight="1">
      <c r="A63" s="24">
        <v>0.5</v>
      </c>
      <c r="B63" s="24">
        <v>0.5</v>
      </c>
      <c r="C63" s="24">
        <v>0.25</v>
      </c>
      <c r="D63" s="24">
        <v>1</v>
      </c>
      <c r="E63" s="24">
        <v>1</v>
      </c>
      <c r="F63" s="24">
        <v>0</v>
      </c>
      <c r="G63" s="24">
        <v>0.66666666666666674</v>
      </c>
      <c r="H63" s="24">
        <v>0.25</v>
      </c>
      <c r="I63" s="24">
        <v>0.75</v>
      </c>
      <c r="J63" s="24">
        <v>0.33333333333333343</v>
      </c>
      <c r="K63" s="24">
        <v>0.33333333333333343</v>
      </c>
      <c r="L63" s="24">
        <v>0.5</v>
      </c>
      <c r="M63" s="24">
        <v>0.66666666666666674</v>
      </c>
      <c r="N63" s="24">
        <v>0.75</v>
      </c>
      <c r="O63" s="24">
        <v>0.33333333333333343</v>
      </c>
      <c r="P63" s="24">
        <v>0.99999999999999989</v>
      </c>
      <c r="Q63" s="24">
        <v>0.99999999999999989</v>
      </c>
      <c r="R63" s="24">
        <v>0.99999999999999989</v>
      </c>
      <c r="S63" s="24">
        <v>0.66666666666666663</v>
      </c>
      <c r="T63" s="24">
        <v>0.75</v>
      </c>
      <c r="U63" s="24">
        <v>1</v>
      </c>
      <c r="V63" s="24">
        <v>0.75</v>
      </c>
    </row>
    <row r="64" spans="1:23" ht="15.75" customHeight="1">
      <c r="A64" s="25">
        <f t="shared" ref="A64:V64" si="0">_xlfn.QUARTILE.INC(A2:A63, 1)</f>
        <v>0.25</v>
      </c>
      <c r="B64" s="25">
        <f t="shared" si="0"/>
        <v>0.25</v>
      </c>
      <c r="C64" s="25">
        <f t="shared" si="0"/>
        <v>0.25</v>
      </c>
      <c r="D64" s="25">
        <f t="shared" si="0"/>
        <v>1</v>
      </c>
      <c r="E64" s="25">
        <f t="shared" si="0"/>
        <v>1</v>
      </c>
      <c r="F64" s="25">
        <f t="shared" si="0"/>
        <v>0</v>
      </c>
      <c r="G64" s="25">
        <f t="shared" si="0"/>
        <v>0.33333333333333331</v>
      </c>
      <c r="H64" s="25">
        <f t="shared" si="0"/>
        <v>0.25</v>
      </c>
      <c r="I64" s="25">
        <f t="shared" si="0"/>
        <v>0.5</v>
      </c>
      <c r="J64" s="25">
        <f t="shared" si="0"/>
        <v>0</v>
      </c>
      <c r="K64" s="25">
        <f t="shared" si="0"/>
        <v>0.33333333333333343</v>
      </c>
      <c r="L64" s="25">
        <f t="shared" si="0"/>
        <v>0.5</v>
      </c>
      <c r="M64" s="25">
        <f t="shared" si="0"/>
        <v>0.66666666666666674</v>
      </c>
      <c r="N64" s="25">
        <f t="shared" si="0"/>
        <v>0.5</v>
      </c>
      <c r="O64" s="25">
        <f t="shared" si="0"/>
        <v>0.33333333333333343</v>
      </c>
      <c r="P64" s="25">
        <f t="shared" si="0"/>
        <v>0.66666666666666663</v>
      </c>
      <c r="Q64" s="25">
        <f t="shared" si="0"/>
        <v>0.33333333333333343</v>
      </c>
      <c r="R64" s="25">
        <f t="shared" si="0"/>
        <v>0.33333333333333343</v>
      </c>
      <c r="S64" s="25">
        <f t="shared" si="0"/>
        <v>0.66666666666666663</v>
      </c>
      <c r="T64" s="25">
        <f t="shared" si="0"/>
        <v>0.25</v>
      </c>
      <c r="U64" s="25">
        <f t="shared" si="0"/>
        <v>0.5</v>
      </c>
      <c r="V64" s="25">
        <f t="shared" si="0"/>
        <v>0.5</v>
      </c>
      <c r="W64" s="26" t="s">
        <v>47</v>
      </c>
    </row>
    <row r="65" spans="1:23" ht="15.75" customHeight="1">
      <c r="A65" s="25">
        <f t="shared" ref="A65:V65" si="1">_xlfn.QUARTILE.INC(A2:A63, 2)</f>
        <v>0.25</v>
      </c>
      <c r="B65" s="25">
        <f t="shared" si="1"/>
        <v>0.25</v>
      </c>
      <c r="C65" s="25">
        <f t="shared" si="1"/>
        <v>0.25</v>
      </c>
      <c r="D65" s="25">
        <f t="shared" si="1"/>
        <v>1</v>
      </c>
      <c r="E65" s="25">
        <f t="shared" si="1"/>
        <v>1</v>
      </c>
      <c r="F65" s="25">
        <f t="shared" si="1"/>
        <v>0</v>
      </c>
      <c r="G65" s="25">
        <f t="shared" si="1"/>
        <v>0.66666666666666674</v>
      </c>
      <c r="H65" s="25">
        <f t="shared" si="1"/>
        <v>0.5</v>
      </c>
      <c r="I65" s="25">
        <f t="shared" si="1"/>
        <v>0.5</v>
      </c>
      <c r="J65" s="25">
        <f t="shared" si="1"/>
        <v>0.33333333333333343</v>
      </c>
      <c r="K65" s="25">
        <f t="shared" si="1"/>
        <v>0.33333333333333343</v>
      </c>
      <c r="L65" s="25">
        <f t="shared" si="1"/>
        <v>0.5</v>
      </c>
      <c r="M65" s="25">
        <f t="shared" si="1"/>
        <v>0.66666666666666674</v>
      </c>
      <c r="N65" s="25">
        <f t="shared" si="1"/>
        <v>0.5</v>
      </c>
      <c r="O65" s="25">
        <f t="shared" si="1"/>
        <v>0.66666666666666663</v>
      </c>
      <c r="P65" s="25">
        <f t="shared" si="1"/>
        <v>0.66666666666666663</v>
      </c>
      <c r="Q65" s="25">
        <f t="shared" si="1"/>
        <v>0.66666666666666663</v>
      </c>
      <c r="R65" s="25">
        <f t="shared" si="1"/>
        <v>0.33333333333333343</v>
      </c>
      <c r="S65" s="25">
        <f t="shared" si="1"/>
        <v>0.66666666666666663</v>
      </c>
      <c r="T65" s="25">
        <f t="shared" si="1"/>
        <v>0.5</v>
      </c>
      <c r="U65" s="25">
        <f t="shared" si="1"/>
        <v>0.5</v>
      </c>
      <c r="V65" s="25">
        <f t="shared" si="1"/>
        <v>0.5</v>
      </c>
      <c r="W65" s="26" t="s">
        <v>48</v>
      </c>
    </row>
    <row r="66" spans="1:23" ht="15.75" customHeight="1">
      <c r="A66" s="25">
        <f t="shared" ref="A66:V66" si="2">_xlfn.QUARTILE.INC(A2:A63, 3)</f>
        <v>0.5</v>
      </c>
      <c r="B66" s="25">
        <f t="shared" si="2"/>
        <v>0.5</v>
      </c>
      <c r="C66" s="25">
        <f t="shared" si="2"/>
        <v>0.25</v>
      </c>
      <c r="D66" s="25">
        <f t="shared" si="2"/>
        <v>1</v>
      </c>
      <c r="E66" s="25">
        <f t="shared" si="2"/>
        <v>1</v>
      </c>
      <c r="F66" s="25">
        <f t="shared" si="2"/>
        <v>0</v>
      </c>
      <c r="G66" s="25">
        <f t="shared" si="2"/>
        <v>0.66666666666666674</v>
      </c>
      <c r="H66" s="25">
        <f t="shared" si="2"/>
        <v>0.75</v>
      </c>
      <c r="I66" s="25">
        <f t="shared" si="2"/>
        <v>0.5</v>
      </c>
      <c r="J66" s="25">
        <f t="shared" si="2"/>
        <v>0.66666666666666663</v>
      </c>
      <c r="K66" s="25">
        <f t="shared" si="2"/>
        <v>0.66666666666666663</v>
      </c>
      <c r="L66" s="25">
        <f t="shared" si="2"/>
        <v>0.5</v>
      </c>
      <c r="M66" s="25">
        <f t="shared" si="2"/>
        <v>0.66666666666666674</v>
      </c>
      <c r="N66" s="25">
        <f t="shared" si="2"/>
        <v>0.75</v>
      </c>
      <c r="O66" s="25">
        <f t="shared" si="2"/>
        <v>0.99999999999999989</v>
      </c>
      <c r="P66" s="25">
        <f t="shared" si="2"/>
        <v>0.99999999999999989</v>
      </c>
      <c r="Q66" s="25">
        <f t="shared" si="2"/>
        <v>0.66666666666666663</v>
      </c>
      <c r="R66" s="25">
        <f t="shared" si="2"/>
        <v>0.66666666666666663</v>
      </c>
      <c r="S66" s="25">
        <f t="shared" si="2"/>
        <v>0.66666666666666663</v>
      </c>
      <c r="T66" s="25">
        <f t="shared" si="2"/>
        <v>0.75</v>
      </c>
      <c r="U66" s="25">
        <f t="shared" si="2"/>
        <v>0.75</v>
      </c>
      <c r="V66" s="25">
        <f t="shared" si="2"/>
        <v>0.75</v>
      </c>
      <c r="W66" s="26" t="s">
        <v>49</v>
      </c>
    </row>
    <row r="67" spans="1:23" ht="15.75" customHeight="1"/>
    <row r="68" spans="1:23" ht="15.75" customHeight="1"/>
    <row r="69" spans="1:23" ht="15.75" customHeight="1"/>
    <row r="70" spans="1:23" ht="15.75" customHeight="1"/>
    <row r="71" spans="1:23" ht="15.75" customHeight="1"/>
    <row r="72" spans="1:23" ht="15.75" customHeight="1"/>
    <row r="73" spans="1:23" ht="15.75" customHeight="1"/>
    <row r="74" spans="1:23" ht="15.75" customHeight="1"/>
    <row r="75" spans="1:23" ht="15.75" customHeight="1"/>
    <row r="76" spans="1:23" ht="15.75" customHeight="1"/>
    <row r="77" spans="1:23" ht="15.75" customHeight="1"/>
    <row r="78" spans="1:23" ht="15.75" customHeight="1"/>
    <row r="79" spans="1:23" ht="15.75" customHeight="1"/>
    <row r="80" spans="1:2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5"/>
  <sheetViews>
    <sheetView workbookViewId="0">
      <selection activeCell="E8" sqref="A1:E8"/>
    </sheetView>
  </sheetViews>
  <sheetFormatPr baseColWidth="10" defaultColWidth="11.1640625" defaultRowHeight="15" customHeight="1"/>
  <cols>
    <col min="5" max="5" width="24.5" customWidth="1"/>
  </cols>
  <sheetData>
    <row r="1" spans="1:6">
      <c r="A1" s="27" t="s">
        <v>50</v>
      </c>
      <c r="B1" s="27" t="s">
        <v>51</v>
      </c>
      <c r="C1" s="27" t="s">
        <v>52</v>
      </c>
      <c r="D1" s="27" t="s">
        <v>53</v>
      </c>
      <c r="E1" s="27" t="s">
        <v>54</v>
      </c>
    </row>
    <row r="2" spans="1:6">
      <c r="A2" s="28" t="s">
        <v>2</v>
      </c>
      <c r="B2" s="29">
        <v>1</v>
      </c>
      <c r="C2" s="30">
        <f t="shared" ref="C2:C8" si="0">E2+(F2*25%)</f>
        <v>0.4375</v>
      </c>
      <c r="D2" s="30">
        <f t="shared" ref="D2:D8" si="1">E2+(F2*75%)</f>
        <v>0.8125</v>
      </c>
      <c r="E2" s="31">
        <v>0.25</v>
      </c>
      <c r="F2" s="30">
        <f>B2-E2</f>
        <v>0.75</v>
      </c>
    </row>
    <row r="3" spans="1:6">
      <c r="A3" s="28" t="s">
        <v>3</v>
      </c>
      <c r="B3" s="29">
        <v>1</v>
      </c>
      <c r="C3" s="30">
        <f t="shared" si="0"/>
        <v>0.4375</v>
      </c>
      <c r="D3" s="30">
        <f t="shared" si="1"/>
        <v>0.8125</v>
      </c>
      <c r="E3" s="31">
        <v>0.25</v>
      </c>
      <c r="F3" s="30">
        <f t="shared" ref="F2:F8" si="2">B3-E3</f>
        <v>0.75</v>
      </c>
    </row>
    <row r="4" spans="1:6">
      <c r="A4" s="28" t="s">
        <v>4</v>
      </c>
      <c r="B4" s="29">
        <v>1</v>
      </c>
      <c r="C4" s="30">
        <f t="shared" si="0"/>
        <v>0.4375</v>
      </c>
      <c r="D4" s="30">
        <f t="shared" si="1"/>
        <v>0.8125</v>
      </c>
      <c r="E4" s="31">
        <v>0.25</v>
      </c>
      <c r="F4" s="30">
        <f t="shared" si="2"/>
        <v>0.75</v>
      </c>
    </row>
    <row r="5" spans="1:6">
      <c r="A5" s="28" t="s">
        <v>5</v>
      </c>
      <c r="B5" s="29">
        <v>1</v>
      </c>
      <c r="C5" s="30">
        <f t="shared" si="0"/>
        <v>1</v>
      </c>
      <c r="D5" s="30">
        <f t="shared" si="1"/>
        <v>1</v>
      </c>
      <c r="E5" s="31">
        <v>1</v>
      </c>
      <c r="F5" s="30">
        <f t="shared" si="2"/>
        <v>0</v>
      </c>
    </row>
    <row r="6" spans="1:6">
      <c r="A6" s="28" t="s">
        <v>6</v>
      </c>
      <c r="B6" s="29">
        <v>1</v>
      </c>
      <c r="C6" s="30">
        <f t="shared" si="0"/>
        <v>1</v>
      </c>
      <c r="D6" s="30">
        <f t="shared" si="1"/>
        <v>1</v>
      </c>
      <c r="E6" s="31">
        <v>1</v>
      </c>
      <c r="F6" s="30">
        <f t="shared" si="2"/>
        <v>0</v>
      </c>
    </row>
    <row r="7" spans="1:6">
      <c r="A7" s="28" t="s">
        <v>55</v>
      </c>
      <c r="B7" s="29">
        <v>1</v>
      </c>
      <c r="C7" s="30">
        <f t="shared" si="0"/>
        <v>0.25</v>
      </c>
      <c r="D7" s="30">
        <f t="shared" si="1"/>
        <v>0.75</v>
      </c>
      <c r="E7" s="31">
        <v>0</v>
      </c>
      <c r="F7" s="30">
        <f t="shared" si="2"/>
        <v>1</v>
      </c>
    </row>
    <row r="8" spans="1:6">
      <c r="A8" s="28" t="s">
        <v>8</v>
      </c>
      <c r="B8" s="29">
        <v>1</v>
      </c>
      <c r="C8" s="30">
        <f t="shared" si="0"/>
        <v>0.745</v>
      </c>
      <c r="D8" s="30">
        <f t="shared" si="1"/>
        <v>0.91500000000000004</v>
      </c>
      <c r="E8" s="31">
        <v>0.66</v>
      </c>
      <c r="F8" s="30">
        <f t="shared" si="2"/>
        <v>0.33999999999999997</v>
      </c>
    </row>
    <row r="10" spans="1:6">
      <c r="A10" s="27" t="s">
        <v>56</v>
      </c>
      <c r="B10" s="27" t="s">
        <v>57</v>
      </c>
      <c r="C10" s="27" t="s">
        <v>58</v>
      </c>
      <c r="D10" s="27" t="s">
        <v>59</v>
      </c>
      <c r="E10" s="27" t="s">
        <v>60</v>
      </c>
    </row>
    <row r="11" spans="1:6">
      <c r="A11" s="27" t="s">
        <v>9</v>
      </c>
      <c r="B11" s="29">
        <v>1</v>
      </c>
      <c r="C11" s="30">
        <f t="shared" ref="C11:C25" si="3">E11+(F11*25%)</f>
        <v>0.8125</v>
      </c>
      <c r="D11" s="30">
        <f t="shared" ref="D11:D25" si="4">E11+(F11*75%)</f>
        <v>0.9375</v>
      </c>
      <c r="E11" s="29">
        <v>0.75</v>
      </c>
      <c r="F11" s="30">
        <f t="shared" ref="F11:F25" si="5">B11-E11</f>
        <v>0.25</v>
      </c>
    </row>
    <row r="12" spans="1:6">
      <c r="A12" s="27" t="s">
        <v>10</v>
      </c>
      <c r="B12" s="29">
        <v>1</v>
      </c>
      <c r="C12" s="30">
        <f t="shared" si="3"/>
        <v>0.625</v>
      </c>
      <c r="D12" s="30">
        <f t="shared" si="4"/>
        <v>0.875</v>
      </c>
      <c r="E12" s="29">
        <v>0.5</v>
      </c>
      <c r="F12" s="30">
        <f t="shared" si="5"/>
        <v>0.5</v>
      </c>
    </row>
    <row r="13" spans="1:6">
      <c r="A13" s="27" t="s">
        <v>11</v>
      </c>
      <c r="B13" s="29">
        <v>1</v>
      </c>
      <c r="C13" s="30">
        <f t="shared" si="3"/>
        <v>1</v>
      </c>
      <c r="D13" s="30">
        <f t="shared" si="4"/>
        <v>1</v>
      </c>
      <c r="E13" s="29">
        <v>1</v>
      </c>
      <c r="F13" s="30">
        <f t="shared" si="5"/>
        <v>0</v>
      </c>
    </row>
    <row r="14" spans="1:6">
      <c r="A14" s="27" t="s">
        <v>12</v>
      </c>
      <c r="B14" s="29">
        <v>1</v>
      </c>
      <c r="C14" s="30">
        <f t="shared" si="3"/>
        <v>0.4975</v>
      </c>
      <c r="D14" s="30">
        <f t="shared" si="4"/>
        <v>0.83250000000000002</v>
      </c>
      <c r="E14" s="29">
        <v>0.33</v>
      </c>
      <c r="F14" s="30">
        <f t="shared" si="5"/>
        <v>0.66999999999999993</v>
      </c>
    </row>
    <row r="15" spans="1:6">
      <c r="A15" s="27" t="s">
        <v>13</v>
      </c>
      <c r="B15" s="29">
        <v>1</v>
      </c>
      <c r="C15" s="30">
        <f t="shared" si="3"/>
        <v>0.625</v>
      </c>
      <c r="D15" s="30">
        <f t="shared" si="4"/>
        <v>0.875</v>
      </c>
      <c r="E15" s="29">
        <v>0.5</v>
      </c>
      <c r="F15" s="30">
        <f t="shared" si="5"/>
        <v>0.5</v>
      </c>
    </row>
    <row r="16" spans="1:6">
      <c r="A16" s="27" t="s">
        <v>14</v>
      </c>
      <c r="B16" s="29">
        <v>1</v>
      </c>
      <c r="C16" s="30">
        <f t="shared" si="3"/>
        <v>0.745</v>
      </c>
      <c r="D16" s="30">
        <f t="shared" si="4"/>
        <v>0.91500000000000004</v>
      </c>
      <c r="E16" s="29">
        <v>0.66</v>
      </c>
      <c r="F16" s="30">
        <f t="shared" si="5"/>
        <v>0.33999999999999997</v>
      </c>
    </row>
    <row r="17" spans="1:6">
      <c r="A17" s="27" t="s">
        <v>15</v>
      </c>
      <c r="B17" s="29">
        <v>1</v>
      </c>
      <c r="C17" s="30">
        <f t="shared" si="3"/>
        <v>0.8125</v>
      </c>
      <c r="D17" s="30">
        <f t="shared" si="4"/>
        <v>0.9375</v>
      </c>
      <c r="E17" s="29">
        <v>0.75</v>
      </c>
      <c r="F17" s="30">
        <f t="shared" si="5"/>
        <v>0.25</v>
      </c>
    </row>
    <row r="18" spans="1:6">
      <c r="A18" s="27" t="s">
        <v>16</v>
      </c>
      <c r="B18" s="29">
        <v>1</v>
      </c>
      <c r="C18" s="30">
        <f t="shared" si="3"/>
        <v>1</v>
      </c>
      <c r="D18" s="30">
        <f t="shared" si="4"/>
        <v>1</v>
      </c>
      <c r="E18" s="29">
        <v>1</v>
      </c>
      <c r="F18" s="30">
        <f t="shared" si="5"/>
        <v>0</v>
      </c>
    </row>
    <row r="19" spans="1:6">
      <c r="A19" s="27" t="s">
        <v>17</v>
      </c>
      <c r="B19" s="29">
        <v>1</v>
      </c>
      <c r="C19" s="30">
        <f t="shared" si="3"/>
        <v>0.745</v>
      </c>
      <c r="D19" s="30">
        <f t="shared" si="4"/>
        <v>0.91500000000000004</v>
      </c>
      <c r="E19" s="29">
        <v>0.66</v>
      </c>
      <c r="F19" s="30">
        <f t="shared" si="5"/>
        <v>0.33999999999999997</v>
      </c>
    </row>
    <row r="20" spans="1:6">
      <c r="A20" s="27" t="s">
        <v>18</v>
      </c>
      <c r="B20" s="29">
        <v>1</v>
      </c>
      <c r="C20" s="30">
        <f t="shared" si="3"/>
        <v>1</v>
      </c>
      <c r="D20" s="30">
        <f t="shared" si="4"/>
        <v>1</v>
      </c>
      <c r="E20" s="29">
        <v>1</v>
      </c>
      <c r="F20" s="30">
        <f t="shared" si="5"/>
        <v>0</v>
      </c>
    </row>
    <row r="21" spans="1:6">
      <c r="A21" s="27" t="s">
        <v>19</v>
      </c>
      <c r="B21" s="29">
        <v>1</v>
      </c>
      <c r="C21" s="30">
        <f t="shared" si="3"/>
        <v>0.745</v>
      </c>
      <c r="D21" s="30">
        <f t="shared" si="4"/>
        <v>0.91500000000000004</v>
      </c>
      <c r="E21" s="29">
        <v>0.66</v>
      </c>
      <c r="F21" s="30">
        <f t="shared" si="5"/>
        <v>0.33999999999999997</v>
      </c>
    </row>
    <row r="22" spans="1:6">
      <c r="A22" s="27" t="s">
        <v>20</v>
      </c>
      <c r="B22" s="29">
        <v>1</v>
      </c>
      <c r="C22" s="30">
        <f t="shared" si="3"/>
        <v>0.745</v>
      </c>
      <c r="D22" s="30">
        <f t="shared" si="4"/>
        <v>0.91500000000000004</v>
      </c>
      <c r="E22" s="29">
        <v>0.66</v>
      </c>
      <c r="F22" s="30">
        <f t="shared" si="5"/>
        <v>0.33999999999999997</v>
      </c>
    </row>
    <row r="23" spans="1:6">
      <c r="A23" s="27" t="s">
        <v>21</v>
      </c>
      <c r="B23" s="29">
        <v>1</v>
      </c>
      <c r="C23" s="30">
        <f t="shared" si="3"/>
        <v>0.8125</v>
      </c>
      <c r="D23" s="30">
        <f t="shared" si="4"/>
        <v>0.9375</v>
      </c>
      <c r="E23" s="29">
        <v>0.75</v>
      </c>
      <c r="F23" s="30">
        <f t="shared" si="5"/>
        <v>0.25</v>
      </c>
    </row>
    <row r="24" spans="1:6">
      <c r="A24" s="27" t="s">
        <v>22</v>
      </c>
      <c r="B24" s="29">
        <v>1</v>
      </c>
      <c r="C24" s="30">
        <f t="shared" si="3"/>
        <v>0.8125</v>
      </c>
      <c r="D24" s="30">
        <f t="shared" si="4"/>
        <v>0.9375</v>
      </c>
      <c r="E24" s="29">
        <v>0.75</v>
      </c>
      <c r="F24" s="30">
        <f t="shared" si="5"/>
        <v>0.25</v>
      </c>
    </row>
    <row r="25" spans="1:6">
      <c r="A25" s="27" t="s">
        <v>23</v>
      </c>
      <c r="B25" s="29">
        <v>1</v>
      </c>
      <c r="C25" s="30">
        <f t="shared" si="3"/>
        <v>1</v>
      </c>
      <c r="D25" s="30">
        <f t="shared" si="4"/>
        <v>1</v>
      </c>
      <c r="E25" s="29">
        <v>1</v>
      </c>
      <c r="F25" s="30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2" ht="15.75" customHeight="1">
      <c r="A1" s="21" t="s">
        <v>2</v>
      </c>
      <c r="B1" s="32">
        <v>0.25</v>
      </c>
      <c r="C1" s="5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5.75" customHeight="1">
      <c r="A2" s="16" t="s">
        <v>3</v>
      </c>
      <c r="B2" s="32">
        <v>0.25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>
      <c r="A3" s="34" t="s">
        <v>4</v>
      </c>
      <c r="B3" s="32">
        <v>0.25</v>
      </c>
    </row>
    <row r="4" spans="1:22" ht="15.75" customHeight="1">
      <c r="A4" s="34" t="s">
        <v>5</v>
      </c>
      <c r="B4" s="32">
        <v>1</v>
      </c>
    </row>
    <row r="5" spans="1:22" ht="15.75" customHeight="1">
      <c r="A5" s="34" t="s">
        <v>6</v>
      </c>
      <c r="B5" s="32">
        <v>1</v>
      </c>
    </row>
    <row r="6" spans="1:22" ht="15.75" customHeight="1">
      <c r="A6" s="34" t="s">
        <v>7</v>
      </c>
      <c r="B6" s="32">
        <v>0</v>
      </c>
    </row>
    <row r="7" spans="1:22" ht="15.75" customHeight="1">
      <c r="A7" s="34" t="s">
        <v>8</v>
      </c>
      <c r="B7" s="32">
        <v>0.66666666666666696</v>
      </c>
    </row>
    <row r="8" spans="1:22" ht="15.75" customHeight="1">
      <c r="A8" s="34" t="s">
        <v>9</v>
      </c>
      <c r="B8" s="32">
        <v>0.75</v>
      </c>
    </row>
    <row r="9" spans="1:22" ht="15.75" customHeight="1">
      <c r="A9" s="34" t="s">
        <v>10</v>
      </c>
      <c r="B9" s="32">
        <v>0.5</v>
      </c>
    </row>
    <row r="10" spans="1:22" ht="15.75" customHeight="1">
      <c r="A10" s="34" t="s">
        <v>11</v>
      </c>
      <c r="B10" s="32">
        <v>0.99999999999999989</v>
      </c>
    </row>
    <row r="11" spans="1:22" ht="15.75" customHeight="1">
      <c r="A11" s="34" t="s">
        <v>12</v>
      </c>
      <c r="B11" s="32">
        <v>0.33333333333333343</v>
      </c>
    </row>
    <row r="12" spans="1:22" ht="15.75" customHeight="1">
      <c r="A12" s="34" t="s">
        <v>13</v>
      </c>
      <c r="B12" s="32">
        <v>0.5</v>
      </c>
    </row>
    <row r="13" spans="1:22" ht="15.75" customHeight="1">
      <c r="A13" s="34" t="s">
        <v>14</v>
      </c>
      <c r="B13" s="32">
        <v>0.66666666666666674</v>
      </c>
    </row>
    <row r="14" spans="1:22" ht="15.75" customHeight="1">
      <c r="A14" s="34" t="s">
        <v>15</v>
      </c>
      <c r="B14" s="32">
        <v>0.75</v>
      </c>
    </row>
    <row r="15" spans="1:22" ht="15.75" customHeight="1">
      <c r="A15" s="34" t="s">
        <v>16</v>
      </c>
      <c r="B15" s="32">
        <v>1</v>
      </c>
    </row>
    <row r="16" spans="1:22" ht="15.75" customHeight="1">
      <c r="A16" s="34" t="s">
        <v>17</v>
      </c>
      <c r="B16" s="32">
        <v>0.66666666666666663</v>
      </c>
    </row>
    <row r="17" spans="1:23" ht="15.75" customHeight="1">
      <c r="A17" s="34" t="s">
        <v>18</v>
      </c>
      <c r="B17" s="32">
        <v>0.99999999999999989</v>
      </c>
    </row>
    <row r="18" spans="1:23" ht="15.75" customHeight="1">
      <c r="A18" s="34" t="s">
        <v>19</v>
      </c>
      <c r="B18" s="32">
        <v>0.66666666666666663</v>
      </c>
    </row>
    <row r="19" spans="1:23" ht="15.75" customHeight="1">
      <c r="A19" s="34" t="s">
        <v>20</v>
      </c>
      <c r="B19" s="32">
        <v>0.66666666666666663</v>
      </c>
    </row>
    <row r="20" spans="1:23" ht="15.75" customHeight="1">
      <c r="A20" s="34" t="s">
        <v>21</v>
      </c>
      <c r="B20" s="32">
        <v>0.75</v>
      </c>
    </row>
    <row r="21" spans="1:23" ht="15.75" customHeight="1">
      <c r="A21" s="34" t="s">
        <v>22</v>
      </c>
      <c r="B21" s="32">
        <v>0.75</v>
      </c>
    </row>
    <row r="22" spans="1:23" ht="15.75" customHeight="1">
      <c r="A22" s="34" t="s">
        <v>23</v>
      </c>
      <c r="B22" s="32">
        <v>1</v>
      </c>
    </row>
    <row r="23" spans="1:23" ht="15.7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75" customHeight="1"/>
    <row r="25" spans="1:23" ht="15.75" customHeight="1"/>
    <row r="26" spans="1:23" ht="15.75" customHeight="1"/>
    <row r="27" spans="1:23" ht="15.75" customHeight="1"/>
    <row r="28" spans="1:23" ht="15.75" customHeight="1"/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topLeftCell="A9" workbookViewId="0">
      <selection sqref="A1:I1"/>
    </sheetView>
  </sheetViews>
  <sheetFormatPr baseColWidth="10" defaultColWidth="11.1640625" defaultRowHeight="15" customHeight="1"/>
  <cols>
    <col min="1" max="26" width="10.5" customWidth="1"/>
  </cols>
  <sheetData>
    <row r="1" spans="1:25" ht="15.75" customHeight="1">
      <c r="A1" s="75" t="s">
        <v>61</v>
      </c>
      <c r="B1" s="76"/>
      <c r="C1" s="76"/>
      <c r="D1" s="76"/>
      <c r="E1" s="76"/>
      <c r="F1" s="76"/>
      <c r="G1" s="76"/>
      <c r="H1" s="76"/>
      <c r="I1" s="77"/>
      <c r="K1" s="78" t="s">
        <v>62</v>
      </c>
      <c r="L1" s="35" t="s">
        <v>63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customHeight="1">
      <c r="A2" s="80" t="s">
        <v>64</v>
      </c>
      <c r="B2" s="76"/>
      <c r="C2" s="76"/>
      <c r="D2" s="76"/>
      <c r="E2" s="76"/>
      <c r="F2" s="76"/>
      <c r="G2" s="76"/>
      <c r="H2" s="76"/>
      <c r="I2" s="77"/>
      <c r="K2" s="79"/>
      <c r="L2" s="35" t="s">
        <v>65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15.75" customHeight="1">
      <c r="A3" s="37"/>
      <c r="B3" s="37"/>
      <c r="C3" s="37"/>
      <c r="D3" s="37"/>
      <c r="E3" s="37"/>
      <c r="F3" s="37"/>
      <c r="G3" s="37"/>
      <c r="H3" s="37"/>
      <c r="I3" s="37"/>
      <c r="L3" s="38"/>
    </row>
    <row r="4" spans="1:25" ht="15.75" customHeight="1">
      <c r="A4" s="37" t="s">
        <v>66</v>
      </c>
      <c r="B4" s="37"/>
      <c r="C4" s="37"/>
      <c r="D4" s="37"/>
      <c r="E4" s="37"/>
      <c r="F4" s="37"/>
      <c r="G4" s="37"/>
      <c r="H4" s="37"/>
      <c r="I4" s="37"/>
    </row>
    <row r="5" spans="1:25" ht="15.75" customHeight="1">
      <c r="A5" s="81" t="s">
        <v>67</v>
      </c>
      <c r="B5" s="76"/>
      <c r="C5" s="76"/>
      <c r="D5" s="76"/>
      <c r="E5" s="76"/>
      <c r="F5" s="76"/>
      <c r="G5" s="76"/>
      <c r="H5" s="77"/>
      <c r="I5" s="37"/>
    </row>
    <row r="6" spans="1:25" ht="15.75" customHeight="1"/>
    <row r="7" spans="1:25" ht="15.75" customHeight="1">
      <c r="A7" s="39" t="s">
        <v>39</v>
      </c>
      <c r="B7" s="39" t="s">
        <v>37</v>
      </c>
      <c r="C7" s="40" t="s">
        <v>68</v>
      </c>
    </row>
    <row r="8" spans="1:25" ht="15.75" customHeight="1">
      <c r="A8" s="4">
        <v>16</v>
      </c>
      <c r="B8" s="4">
        <v>7871</v>
      </c>
      <c r="C8" s="41">
        <f t="shared" ref="C8:C69" si="0">B8/A8</f>
        <v>491.9375</v>
      </c>
    </row>
    <row r="9" spans="1:25" ht="15.75" customHeight="1">
      <c r="A9" s="4">
        <v>5</v>
      </c>
      <c r="B9" s="4">
        <v>845</v>
      </c>
      <c r="C9" s="41">
        <f t="shared" si="0"/>
        <v>169</v>
      </c>
    </row>
    <row r="10" spans="1:25" ht="15.75" customHeight="1">
      <c r="A10" s="4">
        <v>8</v>
      </c>
      <c r="B10" s="4">
        <v>2330</v>
      </c>
      <c r="C10" s="41">
        <f t="shared" si="0"/>
        <v>291.25</v>
      </c>
    </row>
    <row r="11" spans="1:25" ht="15.75" customHeight="1">
      <c r="A11" s="4">
        <v>16</v>
      </c>
      <c r="B11" s="4">
        <v>21272</v>
      </c>
      <c r="C11" s="41">
        <f t="shared" si="0"/>
        <v>1329.5</v>
      </c>
    </row>
    <row r="12" spans="1:25" ht="15.75" customHeight="1">
      <c r="A12" s="4">
        <v>12</v>
      </c>
      <c r="B12" s="4">
        <v>4224</v>
      </c>
      <c r="C12" s="41">
        <f t="shared" si="0"/>
        <v>352</v>
      </c>
    </row>
    <row r="13" spans="1:25" ht="15.75" customHeight="1">
      <c r="A13" s="4">
        <v>12</v>
      </c>
      <c r="B13" s="4">
        <v>2826</v>
      </c>
      <c r="C13" s="41">
        <f t="shared" si="0"/>
        <v>235.5</v>
      </c>
    </row>
    <row r="14" spans="1:25" ht="15.75" customHeight="1">
      <c r="A14" s="4">
        <v>27</v>
      </c>
      <c r="B14" s="4">
        <v>7320</v>
      </c>
      <c r="C14" s="41">
        <f t="shared" si="0"/>
        <v>271.11111111111109</v>
      </c>
    </row>
    <row r="15" spans="1:25" ht="15.75" customHeight="1">
      <c r="A15" s="4">
        <v>24</v>
      </c>
      <c r="B15" s="4">
        <v>9125</v>
      </c>
      <c r="C15" s="41">
        <f t="shared" si="0"/>
        <v>380.20833333333331</v>
      </c>
    </row>
    <row r="16" spans="1:25" ht="15.75" customHeight="1">
      <c r="A16" s="4">
        <v>54</v>
      </c>
      <c r="B16" s="4">
        <v>11900</v>
      </c>
      <c r="C16" s="41">
        <f t="shared" si="0"/>
        <v>220.37037037037038</v>
      </c>
    </row>
    <row r="17" spans="1:3" ht="15.75" customHeight="1">
      <c r="A17" s="4">
        <v>13</v>
      </c>
      <c r="B17" s="4">
        <v>4300</v>
      </c>
      <c r="C17" s="41">
        <f t="shared" si="0"/>
        <v>330.76923076923077</v>
      </c>
    </row>
    <row r="18" spans="1:3" ht="15.75" customHeight="1">
      <c r="A18" s="4">
        <v>21</v>
      </c>
      <c r="B18" s="4">
        <v>4150</v>
      </c>
      <c r="C18" s="41">
        <f t="shared" si="0"/>
        <v>197.61904761904762</v>
      </c>
    </row>
    <row r="19" spans="1:3" ht="15.75" customHeight="1">
      <c r="A19" s="4">
        <v>7</v>
      </c>
      <c r="B19" s="4">
        <v>900</v>
      </c>
      <c r="C19" s="41">
        <f t="shared" si="0"/>
        <v>128.57142857142858</v>
      </c>
    </row>
    <row r="20" spans="1:3" ht="15.75" customHeight="1">
      <c r="A20" s="4">
        <v>10</v>
      </c>
      <c r="B20" s="4">
        <v>583</v>
      </c>
      <c r="C20" s="41">
        <f t="shared" si="0"/>
        <v>58.3</v>
      </c>
    </row>
    <row r="21" spans="1:3" ht="15.75" customHeight="1">
      <c r="A21" s="4">
        <v>19</v>
      </c>
      <c r="B21" s="4">
        <v>2565</v>
      </c>
      <c r="C21" s="41">
        <f t="shared" si="0"/>
        <v>135</v>
      </c>
    </row>
    <row r="22" spans="1:3" ht="15.75" customHeight="1">
      <c r="A22" s="4">
        <v>11</v>
      </c>
      <c r="B22" s="4">
        <v>4047</v>
      </c>
      <c r="C22" s="41">
        <f t="shared" si="0"/>
        <v>367.90909090909093</v>
      </c>
    </row>
    <row r="23" spans="1:3" ht="15.75" customHeight="1">
      <c r="A23" s="4">
        <v>13</v>
      </c>
      <c r="B23" s="4">
        <v>1520</v>
      </c>
      <c r="C23" s="41">
        <f t="shared" si="0"/>
        <v>116.92307692307692</v>
      </c>
    </row>
    <row r="24" spans="1:3" ht="15.75" customHeight="1">
      <c r="A24" s="4">
        <v>32</v>
      </c>
      <c r="B24" s="4">
        <v>25910</v>
      </c>
      <c r="C24" s="41">
        <f t="shared" si="0"/>
        <v>809.6875</v>
      </c>
    </row>
    <row r="25" spans="1:3" ht="15.75" customHeight="1">
      <c r="A25" s="4">
        <v>38</v>
      </c>
      <c r="B25" s="4">
        <v>37286</v>
      </c>
      <c r="C25" s="41">
        <f t="shared" si="0"/>
        <v>981.21052631578948</v>
      </c>
    </row>
    <row r="26" spans="1:3" ht="15.75" customHeight="1">
      <c r="A26" s="4">
        <v>40</v>
      </c>
      <c r="B26" s="4">
        <v>15052</v>
      </c>
      <c r="C26" s="41">
        <f t="shared" si="0"/>
        <v>376.3</v>
      </c>
    </row>
    <row r="27" spans="1:3" ht="15.75" customHeight="1">
      <c r="A27" s="4">
        <v>29</v>
      </c>
      <c r="B27" s="4">
        <v>11039</v>
      </c>
      <c r="C27" s="41">
        <f t="shared" si="0"/>
        <v>380.65517241379308</v>
      </c>
    </row>
    <row r="28" spans="1:3" ht="15.75" customHeight="1">
      <c r="A28" s="4">
        <v>14</v>
      </c>
      <c r="B28" s="4">
        <v>18500</v>
      </c>
      <c r="C28" s="41">
        <f t="shared" si="0"/>
        <v>1321.4285714285713</v>
      </c>
    </row>
    <row r="29" spans="1:3" ht="15.75" customHeight="1">
      <c r="A29" s="4">
        <v>14</v>
      </c>
      <c r="B29" s="4">
        <v>9369</v>
      </c>
      <c r="C29" s="41">
        <f t="shared" si="0"/>
        <v>669.21428571428567</v>
      </c>
    </row>
    <row r="30" spans="1:3" ht="15.75" customHeight="1">
      <c r="A30" s="4">
        <v>28</v>
      </c>
      <c r="B30" s="4">
        <v>7184</v>
      </c>
      <c r="C30" s="41">
        <f t="shared" si="0"/>
        <v>256.57142857142856</v>
      </c>
    </row>
    <row r="31" spans="1:3" ht="15.75" customHeight="1">
      <c r="A31" s="4">
        <v>16</v>
      </c>
      <c r="B31" s="4">
        <v>10447</v>
      </c>
      <c r="C31" s="41">
        <f t="shared" si="0"/>
        <v>652.9375</v>
      </c>
    </row>
    <row r="32" spans="1:3" ht="15.75" customHeight="1">
      <c r="A32" s="4">
        <v>13</v>
      </c>
      <c r="B32" s="4">
        <v>5100</v>
      </c>
      <c r="C32" s="41">
        <f t="shared" si="0"/>
        <v>392.30769230769232</v>
      </c>
    </row>
    <row r="33" spans="1:3" ht="15.75" customHeight="1">
      <c r="A33" s="4">
        <v>45</v>
      </c>
      <c r="B33" s="4">
        <v>63694</v>
      </c>
      <c r="C33" s="41">
        <f t="shared" si="0"/>
        <v>1415.4222222222222</v>
      </c>
    </row>
    <row r="34" spans="1:3" ht="15.75" customHeight="1">
      <c r="A34" s="4">
        <v>4</v>
      </c>
      <c r="B34" s="4">
        <v>1651</v>
      </c>
      <c r="C34" s="41">
        <f t="shared" si="0"/>
        <v>412.75</v>
      </c>
    </row>
    <row r="35" spans="1:3" ht="15.75" customHeight="1">
      <c r="A35" s="4">
        <v>10</v>
      </c>
      <c r="B35" s="4">
        <v>1450</v>
      </c>
      <c r="C35" s="41">
        <f t="shared" si="0"/>
        <v>145</v>
      </c>
    </row>
    <row r="36" spans="1:3" ht="15.75" customHeight="1">
      <c r="A36" s="4">
        <v>12</v>
      </c>
      <c r="B36" s="4">
        <v>1745</v>
      </c>
      <c r="C36" s="41">
        <f t="shared" si="0"/>
        <v>145.41666666666666</v>
      </c>
    </row>
    <row r="37" spans="1:3" ht="15.75" customHeight="1">
      <c r="A37" s="4">
        <v>6</v>
      </c>
      <c r="B37" s="4">
        <v>1798</v>
      </c>
      <c r="C37" s="41">
        <f t="shared" si="0"/>
        <v>299.66666666666669</v>
      </c>
    </row>
    <row r="38" spans="1:3" ht="15.75" customHeight="1">
      <c r="A38" s="4">
        <v>28</v>
      </c>
      <c r="B38" s="4">
        <v>2957</v>
      </c>
      <c r="C38" s="41">
        <f t="shared" si="0"/>
        <v>105.60714285714286</v>
      </c>
    </row>
    <row r="39" spans="1:3" ht="15.75" customHeight="1">
      <c r="A39" s="4">
        <v>6</v>
      </c>
      <c r="B39" s="4">
        <v>963</v>
      </c>
      <c r="C39" s="41">
        <f t="shared" si="0"/>
        <v>160.5</v>
      </c>
    </row>
    <row r="40" spans="1:3" ht="15.75" customHeight="1">
      <c r="A40" s="4">
        <v>6</v>
      </c>
      <c r="B40" s="4">
        <v>1233</v>
      </c>
      <c r="C40" s="41">
        <f t="shared" si="0"/>
        <v>205.5</v>
      </c>
    </row>
    <row r="41" spans="1:3" ht="15.75" customHeight="1">
      <c r="A41" s="4">
        <v>6</v>
      </c>
      <c r="B41" s="4">
        <v>3240</v>
      </c>
      <c r="C41" s="41">
        <f t="shared" si="0"/>
        <v>540</v>
      </c>
    </row>
    <row r="42" spans="1:3" ht="15.75" customHeight="1">
      <c r="A42" s="4">
        <v>11</v>
      </c>
      <c r="B42" s="4">
        <v>10000</v>
      </c>
      <c r="C42" s="41">
        <f t="shared" si="0"/>
        <v>909.09090909090912</v>
      </c>
    </row>
    <row r="43" spans="1:3" ht="15.75" customHeight="1">
      <c r="A43" s="4">
        <v>8</v>
      </c>
      <c r="B43" s="4">
        <v>6800</v>
      </c>
      <c r="C43" s="41">
        <f t="shared" si="0"/>
        <v>850</v>
      </c>
    </row>
    <row r="44" spans="1:3" ht="15.75" customHeight="1">
      <c r="A44" s="4">
        <v>22</v>
      </c>
      <c r="B44" s="4">
        <v>3850</v>
      </c>
      <c r="C44" s="41">
        <f t="shared" si="0"/>
        <v>175</v>
      </c>
    </row>
    <row r="45" spans="1:3" ht="15.75" customHeight="1">
      <c r="A45" s="4">
        <v>31</v>
      </c>
      <c r="B45" s="4">
        <v>14000</v>
      </c>
      <c r="C45" s="41">
        <f t="shared" si="0"/>
        <v>451.61290322580646</v>
      </c>
    </row>
    <row r="46" spans="1:3" ht="15.75" customHeight="1">
      <c r="A46" s="4">
        <v>26</v>
      </c>
      <c r="B46" s="4">
        <v>5787</v>
      </c>
      <c r="C46" s="41">
        <f t="shared" si="0"/>
        <v>222.57692307692307</v>
      </c>
    </row>
    <row r="47" spans="1:3" ht="15.75" customHeight="1">
      <c r="A47" s="4">
        <v>22</v>
      </c>
      <c r="B47" s="4">
        <v>9700</v>
      </c>
      <c r="C47" s="41">
        <f t="shared" si="0"/>
        <v>440.90909090909093</v>
      </c>
    </row>
    <row r="48" spans="1:3" ht="15.75" customHeight="1">
      <c r="A48" s="4">
        <v>7</v>
      </c>
      <c r="B48" s="4">
        <v>1100</v>
      </c>
      <c r="C48" s="41">
        <f t="shared" si="0"/>
        <v>157.14285714285714</v>
      </c>
    </row>
    <row r="49" spans="1:3" ht="15.75" customHeight="1">
      <c r="A49" s="4">
        <v>14</v>
      </c>
      <c r="B49" s="4">
        <v>5578</v>
      </c>
      <c r="C49" s="41">
        <f t="shared" si="0"/>
        <v>398.42857142857144</v>
      </c>
    </row>
    <row r="50" spans="1:3" ht="15.75" customHeight="1">
      <c r="A50" s="4">
        <v>6</v>
      </c>
      <c r="B50" s="4">
        <v>1060</v>
      </c>
      <c r="C50" s="41">
        <f t="shared" si="0"/>
        <v>176.66666666666666</v>
      </c>
    </row>
    <row r="51" spans="1:3" ht="15.75" customHeight="1">
      <c r="A51" s="4">
        <v>6</v>
      </c>
      <c r="B51" s="4">
        <v>5279</v>
      </c>
      <c r="C51" s="41">
        <f t="shared" si="0"/>
        <v>879.83333333333337</v>
      </c>
    </row>
    <row r="52" spans="1:3" ht="15.75" customHeight="1">
      <c r="A52" s="4">
        <v>15</v>
      </c>
      <c r="B52" s="4">
        <v>8117</v>
      </c>
      <c r="C52" s="41">
        <f t="shared" si="0"/>
        <v>541.13333333333333</v>
      </c>
    </row>
    <row r="53" spans="1:3" ht="15.75" customHeight="1">
      <c r="A53" s="4">
        <v>9</v>
      </c>
      <c r="B53" s="4">
        <v>8710</v>
      </c>
      <c r="C53" s="41">
        <f t="shared" si="0"/>
        <v>967.77777777777783</v>
      </c>
    </row>
    <row r="54" spans="1:3" ht="15.75" customHeight="1">
      <c r="A54" s="4">
        <v>9</v>
      </c>
      <c r="B54" s="4">
        <v>796</v>
      </c>
      <c r="C54" s="41">
        <f t="shared" si="0"/>
        <v>88.444444444444443</v>
      </c>
    </row>
    <row r="55" spans="1:3" ht="15.75" customHeight="1">
      <c r="A55" s="4">
        <v>26</v>
      </c>
      <c r="B55" s="4">
        <v>11023</v>
      </c>
      <c r="C55" s="41">
        <f t="shared" si="0"/>
        <v>423.96153846153845</v>
      </c>
    </row>
    <row r="56" spans="1:3" ht="15.75" customHeight="1">
      <c r="A56" s="4">
        <v>13</v>
      </c>
      <c r="B56" s="4">
        <v>1755</v>
      </c>
      <c r="C56" s="41">
        <f t="shared" si="0"/>
        <v>135</v>
      </c>
    </row>
    <row r="57" spans="1:3" ht="15.75" customHeight="1">
      <c r="A57" s="4">
        <v>28</v>
      </c>
      <c r="B57" s="4">
        <v>5931</v>
      </c>
      <c r="C57" s="41">
        <f t="shared" si="0"/>
        <v>211.82142857142858</v>
      </c>
    </row>
    <row r="58" spans="1:3" ht="15.75" customHeight="1">
      <c r="A58" s="4">
        <v>13</v>
      </c>
      <c r="B58" s="4">
        <v>4456</v>
      </c>
      <c r="C58" s="41">
        <f t="shared" si="0"/>
        <v>342.76923076923077</v>
      </c>
    </row>
    <row r="59" spans="1:3" ht="15.75" customHeight="1">
      <c r="A59" s="4">
        <v>13</v>
      </c>
      <c r="B59" s="4">
        <v>3600</v>
      </c>
      <c r="C59" s="41">
        <f t="shared" si="0"/>
        <v>276.92307692307691</v>
      </c>
    </row>
    <row r="60" spans="1:3" ht="15.75" customHeight="1">
      <c r="A60" s="4">
        <v>12</v>
      </c>
      <c r="B60" s="4">
        <v>4557</v>
      </c>
      <c r="C60" s="41">
        <f t="shared" si="0"/>
        <v>379.75</v>
      </c>
    </row>
    <row r="61" spans="1:3" ht="15.75" customHeight="1">
      <c r="A61" s="4">
        <v>14</v>
      </c>
      <c r="B61" s="4">
        <v>8752</v>
      </c>
      <c r="C61" s="41">
        <f t="shared" si="0"/>
        <v>625.14285714285711</v>
      </c>
    </row>
    <row r="62" spans="1:3" ht="15.75" customHeight="1">
      <c r="A62" s="4">
        <v>12</v>
      </c>
      <c r="B62" s="4">
        <v>3440</v>
      </c>
      <c r="C62" s="41">
        <f t="shared" si="0"/>
        <v>286.66666666666669</v>
      </c>
    </row>
    <row r="63" spans="1:3" ht="15.75" customHeight="1">
      <c r="A63" s="4">
        <v>9</v>
      </c>
      <c r="B63" s="4">
        <v>1981</v>
      </c>
      <c r="C63" s="41">
        <f t="shared" si="0"/>
        <v>220.11111111111111</v>
      </c>
    </row>
    <row r="64" spans="1:3" ht="15.75" customHeight="1">
      <c r="A64" s="4">
        <v>30</v>
      </c>
      <c r="B64" s="4">
        <v>13700</v>
      </c>
      <c r="C64" s="41">
        <f t="shared" si="0"/>
        <v>456.66666666666669</v>
      </c>
    </row>
    <row r="65" spans="1:3" ht="15.75" customHeight="1">
      <c r="A65" s="4">
        <v>20</v>
      </c>
      <c r="B65" s="4">
        <v>7105</v>
      </c>
      <c r="C65" s="41">
        <f t="shared" si="0"/>
        <v>355.25</v>
      </c>
    </row>
    <row r="66" spans="1:3" ht="15.75" customHeight="1">
      <c r="A66" s="4">
        <v>16</v>
      </c>
      <c r="B66" s="4">
        <v>6816</v>
      </c>
      <c r="C66" s="41">
        <f t="shared" si="0"/>
        <v>426</v>
      </c>
    </row>
    <row r="67" spans="1:3" ht="15.75" customHeight="1">
      <c r="A67" s="4">
        <v>12</v>
      </c>
      <c r="B67" s="4">
        <v>4620</v>
      </c>
      <c r="C67" s="41">
        <f t="shared" si="0"/>
        <v>385</v>
      </c>
    </row>
    <row r="68" spans="1:3" ht="15.75" customHeight="1">
      <c r="A68" s="4">
        <v>15</v>
      </c>
      <c r="B68" s="4">
        <v>7451</v>
      </c>
      <c r="C68" s="41">
        <f t="shared" si="0"/>
        <v>496.73333333333335</v>
      </c>
    </row>
    <row r="69" spans="1:3" ht="15.75" customHeight="1">
      <c r="A69" s="4">
        <v>33</v>
      </c>
      <c r="B69" s="4">
        <v>39479</v>
      </c>
      <c r="C69" s="41">
        <f t="shared" si="0"/>
        <v>1196.3333333333333</v>
      </c>
    </row>
    <row r="70" spans="1:3" ht="15.75" customHeight="1"/>
    <row r="71" spans="1:3" ht="15.75" customHeight="1"/>
    <row r="72" spans="1:3" ht="15.75" customHeight="1"/>
    <row r="73" spans="1:3" ht="15.75" customHeight="1"/>
    <row r="74" spans="1:3" ht="15.75" customHeight="1"/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K1:K2"/>
    <mergeCell ref="A2:I2"/>
    <mergeCell ref="A5:H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zoomScale="115" zoomScaleNormal="75" workbookViewId="0">
      <selection activeCell="C6" sqref="C6:I12"/>
    </sheetView>
  </sheetViews>
  <sheetFormatPr baseColWidth="10" defaultColWidth="11.1640625" defaultRowHeight="15" customHeight="1"/>
  <cols>
    <col min="1" max="2" width="10.5" customWidth="1"/>
    <col min="3" max="3" width="13.5" customWidth="1"/>
    <col min="4" max="4" width="14.33203125" customWidth="1"/>
    <col min="5" max="5" width="13.83203125" customWidth="1"/>
    <col min="6" max="6" width="12.6640625" customWidth="1"/>
    <col min="7" max="7" width="12.33203125" customWidth="1"/>
    <col min="8" max="8" width="13.1640625" customWidth="1"/>
    <col min="9" max="9" width="11.1640625" customWidth="1"/>
    <col min="10" max="24" width="10.5" customWidth="1"/>
    <col min="25" max="25" width="61.6640625" customWidth="1"/>
    <col min="26" max="38" width="10.5" customWidth="1"/>
  </cols>
  <sheetData>
    <row r="1" spans="1:25" ht="15.75" customHeight="1"/>
    <row r="2" spans="1:25" ht="15.75" customHeight="1">
      <c r="A2" s="82" t="s">
        <v>91</v>
      </c>
      <c r="B2" s="83"/>
      <c r="C2" s="83"/>
      <c r="D2" s="83"/>
      <c r="E2" s="83"/>
      <c r="F2" s="83"/>
      <c r="G2" s="83"/>
      <c r="H2" s="83"/>
      <c r="I2" s="84"/>
      <c r="Y2" s="42" t="s">
        <v>69</v>
      </c>
    </row>
    <row r="3" spans="1:25" ht="15.75" customHeight="1">
      <c r="A3" s="85"/>
      <c r="B3" s="86"/>
      <c r="C3" s="86"/>
      <c r="D3" s="86"/>
      <c r="E3" s="86"/>
      <c r="F3" s="86"/>
      <c r="G3" s="86"/>
      <c r="H3" s="86"/>
      <c r="I3" s="87"/>
      <c r="X3" s="5">
        <v>1</v>
      </c>
      <c r="Y3" s="43"/>
    </row>
    <row r="4" spans="1:25" ht="15.75" customHeight="1">
      <c r="B4" s="44"/>
      <c r="C4" s="88" t="s">
        <v>70</v>
      </c>
      <c r="D4" s="73"/>
      <c r="E4" s="73"/>
      <c r="F4" s="73"/>
      <c r="G4" s="73"/>
      <c r="H4" s="73"/>
      <c r="I4" s="74"/>
      <c r="X4" s="5">
        <f t="shared" ref="X4:X64" si="0">X3+1</f>
        <v>2</v>
      </c>
      <c r="Y4" s="43"/>
    </row>
    <row r="5" spans="1:25" ht="15.75" customHeight="1">
      <c r="A5" s="89" t="s">
        <v>71</v>
      </c>
      <c r="B5" s="45"/>
      <c r="C5" s="46">
        <v>10</v>
      </c>
      <c r="D5" s="46">
        <v>15</v>
      </c>
      <c r="E5" s="46">
        <v>20</v>
      </c>
      <c r="F5" s="46">
        <v>25</v>
      </c>
      <c r="G5" s="46">
        <v>30</v>
      </c>
      <c r="H5" s="46">
        <v>35</v>
      </c>
      <c r="I5" s="46">
        <v>40</v>
      </c>
      <c r="X5" s="5">
        <f t="shared" si="0"/>
        <v>3</v>
      </c>
      <c r="Y5" s="43"/>
    </row>
    <row r="6" spans="1:25" ht="15.75" customHeight="1">
      <c r="A6" s="90"/>
      <c r="B6" s="47">
        <v>30</v>
      </c>
      <c r="C6" s="32">
        <v>5666.8689345714101</v>
      </c>
      <c r="D6" s="32">
        <v>5214.4702604326303</v>
      </c>
      <c r="E6" s="32">
        <v>5230.1483153807003</v>
      </c>
      <c r="F6" s="32">
        <v>4642.8615098188602</v>
      </c>
      <c r="G6" s="32">
        <v>4249.0656818315301</v>
      </c>
      <c r="H6" s="32">
        <v>3932.9572665884298</v>
      </c>
      <c r="I6" s="32">
        <v>4144.2319132354896</v>
      </c>
      <c r="X6" s="5">
        <f t="shared" si="0"/>
        <v>4</v>
      </c>
      <c r="Y6" s="43"/>
    </row>
    <row r="7" spans="1:25" ht="15.75" customHeight="1">
      <c r="A7" s="90"/>
      <c r="B7" s="47">
        <v>35</v>
      </c>
      <c r="C7" s="32">
        <v>5627.2602456987697</v>
      </c>
      <c r="D7" s="32">
        <v>5212.41648333988</v>
      </c>
      <c r="E7" s="32">
        <v>4601.1892499591104</v>
      </c>
      <c r="F7" s="32">
        <v>4191.2205064961299</v>
      </c>
      <c r="G7" s="32">
        <v>3842.1122134739198</v>
      </c>
      <c r="H7" s="32">
        <v>3913.2070127166699</v>
      </c>
      <c r="I7" s="32">
        <v>3930.9643554443201</v>
      </c>
      <c r="X7" s="5">
        <f t="shared" si="0"/>
        <v>5</v>
      </c>
      <c r="Y7" s="43"/>
    </row>
    <row r="8" spans="1:25" ht="15.75" customHeight="1">
      <c r="A8" s="90"/>
      <c r="B8" s="47">
        <v>40</v>
      </c>
      <c r="C8" s="32">
        <v>5286.2420442127004</v>
      </c>
      <c r="D8" s="32">
        <v>4991.9675426898602</v>
      </c>
      <c r="E8" s="32">
        <v>4438.9793925917102</v>
      </c>
      <c r="F8" s="32">
        <v>4408.2852154638804</v>
      </c>
      <c r="G8" s="32">
        <v>3616.9868912202801</v>
      </c>
      <c r="H8" s="32">
        <v>3607.3369144694102</v>
      </c>
      <c r="I8" s="32">
        <v>2968.0243130061699</v>
      </c>
      <c r="X8" s="5">
        <f t="shared" si="0"/>
        <v>6</v>
      </c>
      <c r="Y8" s="43"/>
    </row>
    <row r="9" spans="1:25" ht="15.75" customHeight="1">
      <c r="A9" s="90"/>
      <c r="B9" s="47">
        <v>45</v>
      </c>
      <c r="C9" s="32">
        <v>5245.6478736072104</v>
      </c>
      <c r="D9" s="32">
        <v>4773.9981237403099</v>
      </c>
      <c r="E9" s="32">
        <v>4204.8258123674304</v>
      </c>
      <c r="F9" s="32">
        <v>3807.2029165390099</v>
      </c>
      <c r="G9" s="32">
        <v>3436.2447303879799</v>
      </c>
      <c r="H9" s="32">
        <v>3277.3585548434999</v>
      </c>
      <c r="I9" s="32">
        <v>2939.6705703652101</v>
      </c>
      <c r="X9" s="5">
        <f t="shared" si="0"/>
        <v>7</v>
      </c>
      <c r="Y9" s="43"/>
    </row>
    <row r="10" spans="1:25" ht="15.75" customHeight="1">
      <c r="A10" s="90"/>
      <c r="B10" s="47">
        <v>50</v>
      </c>
      <c r="C10" s="32">
        <v>5027.2849115253102</v>
      </c>
      <c r="D10" s="32">
        <v>4411.9650162316702</v>
      </c>
      <c r="E10" s="32">
        <v>4126.2543816084599</v>
      </c>
      <c r="F10" s="32">
        <v>3778.4580730339799</v>
      </c>
      <c r="G10" s="32">
        <v>3098.8417016368699</v>
      </c>
      <c r="H10" s="32">
        <v>2945.5336119356398</v>
      </c>
      <c r="I10" s="32">
        <v>2708.2894174893099</v>
      </c>
      <c r="X10" s="5">
        <f t="shared" si="0"/>
        <v>8</v>
      </c>
      <c r="Y10" s="43"/>
    </row>
    <row r="11" spans="1:25" ht="15.75" customHeight="1">
      <c r="A11" s="90"/>
      <c r="B11" s="47">
        <v>55</v>
      </c>
      <c r="C11" s="32">
        <v>4988.6880366529504</v>
      </c>
      <c r="D11" s="32">
        <v>4095.1468580170899</v>
      </c>
      <c r="E11" s="32">
        <v>3844.0150089856702</v>
      </c>
      <c r="F11" s="32">
        <v>3405.0515906240698</v>
      </c>
      <c r="G11" s="32">
        <v>3131.74177110849</v>
      </c>
      <c r="H11" s="32">
        <v>3146.84675700346</v>
      </c>
      <c r="I11" s="32">
        <v>2410.3063589795602</v>
      </c>
      <c r="X11" s="5">
        <f t="shared" si="0"/>
        <v>9</v>
      </c>
      <c r="Y11" s="43"/>
    </row>
    <row r="12" spans="1:25" ht="15.75" customHeight="1">
      <c r="A12" s="79"/>
      <c r="B12" s="47">
        <v>60</v>
      </c>
      <c r="C12" s="32">
        <v>4543.1883620311301</v>
      </c>
      <c r="D12" s="32">
        <v>4090.4734443740299</v>
      </c>
      <c r="E12" s="32">
        <v>3666.5300643113301</v>
      </c>
      <c r="F12" s="32">
        <v>3214.8609649981599</v>
      </c>
      <c r="G12" s="32">
        <v>2826.2636666233602</v>
      </c>
      <c r="H12" s="32">
        <v>2402.9345856034201</v>
      </c>
      <c r="I12" s="32">
        <v>2319.66626092771</v>
      </c>
      <c r="X12" s="5">
        <f t="shared" si="0"/>
        <v>10</v>
      </c>
      <c r="Y12" s="43"/>
    </row>
    <row r="13" spans="1:25" ht="15.75" customHeight="1">
      <c r="X13" s="5">
        <f t="shared" si="0"/>
        <v>11</v>
      </c>
      <c r="Y13" s="43"/>
    </row>
    <row r="14" spans="1:25" ht="15.75" customHeight="1">
      <c r="X14" s="5">
        <f t="shared" si="0"/>
        <v>12</v>
      </c>
      <c r="Y14" s="43"/>
    </row>
    <row r="15" spans="1:25" ht="15.75" customHeight="1">
      <c r="X15" s="5">
        <f t="shared" si="0"/>
        <v>13</v>
      </c>
      <c r="Y15" s="43"/>
    </row>
    <row r="16" spans="1:25" ht="15.75" customHeight="1">
      <c r="X16" s="5">
        <f t="shared" si="0"/>
        <v>14</v>
      </c>
      <c r="Y16" s="43"/>
    </row>
    <row r="17" spans="24:25" ht="15.75" customHeight="1">
      <c r="X17" s="5">
        <f t="shared" si="0"/>
        <v>15</v>
      </c>
      <c r="Y17" s="43"/>
    </row>
    <row r="18" spans="24:25" ht="15.75" customHeight="1">
      <c r="X18" s="5">
        <f t="shared" si="0"/>
        <v>16</v>
      </c>
      <c r="Y18" s="43"/>
    </row>
    <row r="19" spans="24:25" ht="15.75" customHeight="1">
      <c r="X19" s="5">
        <f t="shared" si="0"/>
        <v>17</v>
      </c>
      <c r="Y19" s="43"/>
    </row>
    <row r="20" spans="24:25" ht="15.75" customHeight="1">
      <c r="X20" s="5">
        <f t="shared" si="0"/>
        <v>18</v>
      </c>
      <c r="Y20" s="43"/>
    </row>
    <row r="21" spans="24:25" ht="15.75" customHeight="1">
      <c r="X21" s="5">
        <f t="shared" si="0"/>
        <v>19</v>
      </c>
      <c r="Y21" s="43"/>
    </row>
    <row r="22" spans="24:25" ht="15.75" customHeight="1">
      <c r="X22" s="5">
        <f t="shared" si="0"/>
        <v>20</v>
      </c>
      <c r="Y22" s="43"/>
    </row>
    <row r="23" spans="24:25" ht="15.75" customHeight="1">
      <c r="X23" s="5">
        <f t="shared" si="0"/>
        <v>21</v>
      </c>
      <c r="Y23" s="43"/>
    </row>
    <row r="24" spans="24:25" ht="15.75" customHeight="1">
      <c r="X24" s="5">
        <f t="shared" si="0"/>
        <v>22</v>
      </c>
      <c r="Y24" s="43"/>
    </row>
    <row r="25" spans="24:25" ht="15.75" customHeight="1">
      <c r="X25" s="5">
        <f t="shared" si="0"/>
        <v>23</v>
      </c>
      <c r="Y25" s="43"/>
    </row>
    <row r="26" spans="24:25" ht="15.75" customHeight="1">
      <c r="X26" s="5">
        <f t="shared" si="0"/>
        <v>24</v>
      </c>
      <c r="Y26" s="43"/>
    </row>
    <row r="27" spans="24:25" ht="15.75" customHeight="1">
      <c r="X27" s="5">
        <f t="shared" si="0"/>
        <v>25</v>
      </c>
      <c r="Y27" s="43"/>
    </row>
    <row r="28" spans="24:25" ht="15.75" customHeight="1">
      <c r="X28" s="5">
        <f t="shared" si="0"/>
        <v>26</v>
      </c>
      <c r="Y28" s="43"/>
    </row>
    <row r="29" spans="24:25" ht="15.75" customHeight="1">
      <c r="X29" s="5">
        <f t="shared" si="0"/>
        <v>27</v>
      </c>
      <c r="Y29" s="43"/>
    </row>
    <row r="30" spans="24:25" ht="15.75" customHeight="1">
      <c r="X30" s="5">
        <f t="shared" si="0"/>
        <v>28</v>
      </c>
      <c r="Y30" s="43"/>
    </row>
    <row r="31" spans="24:25" ht="15.75" customHeight="1">
      <c r="X31" s="5">
        <f t="shared" si="0"/>
        <v>29</v>
      </c>
      <c r="Y31" s="43"/>
    </row>
    <row r="32" spans="24:25" ht="15.75" customHeight="1">
      <c r="X32" s="5">
        <f t="shared" si="0"/>
        <v>30</v>
      </c>
      <c r="Y32" s="43"/>
    </row>
    <row r="33" spans="24:25" ht="15.75" customHeight="1">
      <c r="X33" s="5">
        <f t="shared" si="0"/>
        <v>31</v>
      </c>
      <c r="Y33" s="43"/>
    </row>
    <row r="34" spans="24:25" ht="15.75" customHeight="1">
      <c r="X34" s="5">
        <f t="shared" si="0"/>
        <v>32</v>
      </c>
      <c r="Y34" s="43"/>
    </row>
    <row r="35" spans="24:25" ht="15.75" customHeight="1">
      <c r="X35" s="5">
        <f t="shared" si="0"/>
        <v>33</v>
      </c>
      <c r="Y35" s="43"/>
    </row>
    <row r="36" spans="24:25" ht="15.75" customHeight="1">
      <c r="X36" s="5">
        <f t="shared" si="0"/>
        <v>34</v>
      </c>
      <c r="Y36" s="43"/>
    </row>
    <row r="37" spans="24:25" ht="15.75" customHeight="1">
      <c r="X37" s="5">
        <f t="shared" si="0"/>
        <v>35</v>
      </c>
      <c r="Y37" s="43"/>
    </row>
    <row r="38" spans="24:25" ht="15.75" customHeight="1">
      <c r="X38" s="5">
        <f t="shared" si="0"/>
        <v>36</v>
      </c>
      <c r="Y38" s="43"/>
    </row>
    <row r="39" spans="24:25" ht="15.75" customHeight="1">
      <c r="X39" s="5">
        <f t="shared" si="0"/>
        <v>37</v>
      </c>
      <c r="Y39" s="43"/>
    </row>
    <row r="40" spans="24:25" ht="15.75" customHeight="1">
      <c r="X40" s="5">
        <f t="shared" si="0"/>
        <v>38</v>
      </c>
      <c r="Y40" s="43"/>
    </row>
    <row r="41" spans="24:25" ht="15.75" customHeight="1">
      <c r="X41" s="5">
        <f t="shared" si="0"/>
        <v>39</v>
      </c>
      <c r="Y41" s="43"/>
    </row>
    <row r="42" spans="24:25" ht="15.75" customHeight="1">
      <c r="X42" s="5">
        <f t="shared" si="0"/>
        <v>40</v>
      </c>
      <c r="Y42" s="43"/>
    </row>
    <row r="43" spans="24:25" ht="15.75" customHeight="1">
      <c r="X43" s="5">
        <f t="shared" si="0"/>
        <v>41</v>
      </c>
      <c r="Y43" s="43"/>
    </row>
    <row r="44" spans="24:25" ht="15.75" customHeight="1">
      <c r="X44" s="5">
        <f t="shared" si="0"/>
        <v>42</v>
      </c>
      <c r="Y44" s="43"/>
    </row>
    <row r="45" spans="24:25" ht="15.75" customHeight="1">
      <c r="X45" s="5">
        <f t="shared" si="0"/>
        <v>43</v>
      </c>
      <c r="Y45" s="43"/>
    </row>
    <row r="46" spans="24:25" ht="15.75" customHeight="1">
      <c r="X46" s="5">
        <f t="shared" si="0"/>
        <v>44</v>
      </c>
      <c r="Y46" s="43"/>
    </row>
    <row r="47" spans="24:25" ht="15.75" customHeight="1">
      <c r="X47" s="5">
        <f t="shared" si="0"/>
        <v>45</v>
      </c>
      <c r="Y47" s="43"/>
    </row>
    <row r="48" spans="24:25" ht="15.75" customHeight="1">
      <c r="X48" s="5">
        <f t="shared" si="0"/>
        <v>46</v>
      </c>
      <c r="Y48" s="43"/>
    </row>
    <row r="49" spans="24:25" ht="15.75" customHeight="1">
      <c r="X49" s="5">
        <f t="shared" si="0"/>
        <v>47</v>
      </c>
      <c r="Y49" s="43"/>
    </row>
    <row r="50" spans="24:25" ht="15.75" customHeight="1">
      <c r="X50" s="5">
        <f t="shared" si="0"/>
        <v>48</v>
      </c>
      <c r="Y50" s="43"/>
    </row>
    <row r="51" spans="24:25" ht="15.75" customHeight="1">
      <c r="X51" s="5">
        <f t="shared" si="0"/>
        <v>49</v>
      </c>
      <c r="Y51" s="43"/>
    </row>
    <row r="52" spans="24:25" ht="15.75" customHeight="1">
      <c r="X52" s="5">
        <f t="shared" si="0"/>
        <v>50</v>
      </c>
      <c r="Y52" s="43"/>
    </row>
    <row r="53" spans="24:25" ht="15.75" customHeight="1">
      <c r="X53" s="5">
        <f t="shared" si="0"/>
        <v>51</v>
      </c>
      <c r="Y53" s="43"/>
    </row>
    <row r="54" spans="24:25" ht="15.75" customHeight="1">
      <c r="X54" s="5">
        <f t="shared" si="0"/>
        <v>52</v>
      </c>
      <c r="Y54" s="43"/>
    </row>
    <row r="55" spans="24:25" ht="15.75" customHeight="1">
      <c r="X55" s="5">
        <f t="shared" si="0"/>
        <v>53</v>
      </c>
      <c r="Y55" s="43"/>
    </row>
    <row r="56" spans="24:25" ht="15.75" customHeight="1">
      <c r="X56" s="5">
        <f t="shared" si="0"/>
        <v>54</v>
      </c>
      <c r="Y56" s="43"/>
    </row>
    <row r="57" spans="24:25" ht="15.75" customHeight="1">
      <c r="X57" s="5">
        <f t="shared" si="0"/>
        <v>55</v>
      </c>
      <c r="Y57" s="43"/>
    </row>
    <row r="58" spans="24:25" ht="15.75" customHeight="1">
      <c r="X58" s="5">
        <f t="shared" si="0"/>
        <v>56</v>
      </c>
      <c r="Y58" s="43"/>
    </row>
    <row r="59" spans="24:25" ht="15.75" customHeight="1">
      <c r="X59" s="5">
        <f t="shared" si="0"/>
        <v>57</v>
      </c>
      <c r="Y59" s="43"/>
    </row>
    <row r="60" spans="24:25" ht="15.75" customHeight="1">
      <c r="X60" s="5">
        <f t="shared" si="0"/>
        <v>58</v>
      </c>
      <c r="Y60" s="43"/>
    </row>
    <row r="61" spans="24:25" ht="15.75" customHeight="1">
      <c r="X61" s="5">
        <f t="shared" si="0"/>
        <v>59</v>
      </c>
      <c r="Y61" s="43"/>
    </row>
    <row r="62" spans="24:25" ht="15.75" customHeight="1">
      <c r="X62" s="5">
        <f t="shared" si="0"/>
        <v>60</v>
      </c>
      <c r="Y62" s="43"/>
    </row>
    <row r="63" spans="24:25" ht="15.75" customHeight="1">
      <c r="X63" s="5">
        <f t="shared" si="0"/>
        <v>61</v>
      </c>
      <c r="Y63" s="43"/>
    </row>
    <row r="64" spans="24:25" ht="15.75" customHeight="1">
      <c r="X64" s="5">
        <f t="shared" si="0"/>
        <v>62</v>
      </c>
      <c r="Y64" s="4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I3"/>
    <mergeCell ref="C4:I4"/>
    <mergeCell ref="A5:A12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zoomScale="125" workbookViewId="0">
      <selection activeCell="C5" sqref="C5:I11"/>
    </sheetView>
  </sheetViews>
  <sheetFormatPr baseColWidth="10" defaultColWidth="11.1640625" defaultRowHeight="15" customHeight="1"/>
  <cols>
    <col min="1" max="17" width="10.5" customWidth="1"/>
    <col min="18" max="18" width="20" customWidth="1"/>
    <col min="19" max="26" width="10.5" customWidth="1"/>
  </cols>
  <sheetData>
    <row r="1" spans="1:18" ht="15.75" customHeight="1">
      <c r="A1" s="82" t="s">
        <v>92</v>
      </c>
      <c r="B1" s="83"/>
      <c r="C1" s="83"/>
      <c r="D1" s="83"/>
      <c r="E1" s="83"/>
      <c r="F1" s="83"/>
      <c r="G1" s="83"/>
      <c r="H1" s="83"/>
      <c r="I1" s="84"/>
      <c r="R1" s="30"/>
    </row>
    <row r="2" spans="1:18" ht="15.75" customHeight="1">
      <c r="A2" s="85"/>
      <c r="B2" s="86"/>
      <c r="C2" s="86"/>
      <c r="D2" s="86"/>
      <c r="E2" s="86"/>
      <c r="F2" s="86"/>
      <c r="G2" s="86"/>
      <c r="H2" s="86"/>
      <c r="I2" s="87"/>
      <c r="Q2" s="48"/>
      <c r="R2" s="48"/>
    </row>
    <row r="3" spans="1:18" ht="15.75" customHeight="1">
      <c r="B3" s="44"/>
      <c r="C3" s="88" t="s">
        <v>70</v>
      </c>
      <c r="D3" s="73"/>
      <c r="E3" s="73"/>
      <c r="F3" s="73"/>
      <c r="G3" s="73"/>
      <c r="H3" s="73"/>
      <c r="I3" s="74"/>
      <c r="Q3" s="48"/>
      <c r="R3" s="48"/>
    </row>
    <row r="4" spans="1:18" ht="15.75" customHeight="1">
      <c r="A4" s="89" t="s">
        <v>71</v>
      </c>
      <c r="B4" s="45"/>
      <c r="C4" s="46">
        <v>10</v>
      </c>
      <c r="D4" s="46">
        <v>15</v>
      </c>
      <c r="E4" s="46">
        <v>20</v>
      </c>
      <c r="F4" s="46">
        <v>25</v>
      </c>
      <c r="G4" s="46">
        <v>30</v>
      </c>
      <c r="H4" s="46">
        <v>35</v>
      </c>
      <c r="I4" s="46">
        <v>40</v>
      </c>
      <c r="Q4" s="48"/>
      <c r="R4" s="48"/>
    </row>
    <row r="5" spans="1:18" ht="15.75" customHeight="1">
      <c r="A5" s="90"/>
      <c r="B5" s="47">
        <v>30</v>
      </c>
      <c r="C5" s="32">
        <v>1820.93459581257</v>
      </c>
      <c r="D5" s="32">
        <v>1736.69128259886</v>
      </c>
      <c r="E5" s="32">
        <v>1668.4417639007399</v>
      </c>
      <c r="F5" s="32">
        <v>1574.71270578958</v>
      </c>
      <c r="G5" s="32">
        <v>1634.8928126984599</v>
      </c>
      <c r="H5" s="32">
        <v>1469.3161824895899</v>
      </c>
      <c r="I5" s="32">
        <v>1465.820619608</v>
      </c>
      <c r="Q5" s="48"/>
      <c r="R5" s="48"/>
    </row>
    <row r="6" spans="1:18" ht="15.75" customHeight="1">
      <c r="A6" s="90"/>
      <c r="B6" s="47">
        <v>35</v>
      </c>
      <c r="C6" s="32">
        <v>1706.9334490820199</v>
      </c>
      <c r="D6" s="32">
        <v>1846.7519918784001</v>
      </c>
      <c r="E6" s="32">
        <v>1543.73409849782</v>
      </c>
      <c r="F6" s="32">
        <v>1267.2673656578199</v>
      </c>
      <c r="G6" s="32">
        <v>1405.40778018073</v>
      </c>
      <c r="H6" s="32">
        <v>1261.04751528978</v>
      </c>
      <c r="I6" s="32">
        <v>1247.54942828258</v>
      </c>
      <c r="Q6" s="48"/>
      <c r="R6" s="48"/>
    </row>
    <row r="7" spans="1:18" ht="15.75" customHeight="1">
      <c r="A7" s="90"/>
      <c r="B7" s="47">
        <v>40</v>
      </c>
      <c r="C7" s="32">
        <v>1921.9074973210099</v>
      </c>
      <c r="D7" s="32">
        <v>1446.34564519944</v>
      </c>
      <c r="E7" s="32">
        <v>1314.59698635058</v>
      </c>
      <c r="F7" s="32">
        <v>1315.11019588107</v>
      </c>
      <c r="G7" s="32">
        <v>1182.31991228431</v>
      </c>
      <c r="H7" s="32">
        <v>1286.37483020739</v>
      </c>
      <c r="I7" s="32">
        <v>1079.0645860462701</v>
      </c>
      <c r="Q7" s="48"/>
      <c r="R7" s="48"/>
    </row>
    <row r="8" spans="1:18" ht="15.75" customHeight="1">
      <c r="A8" s="90"/>
      <c r="B8" s="47">
        <v>45</v>
      </c>
      <c r="C8" s="32">
        <v>1688.7801735999001</v>
      </c>
      <c r="D8" s="32">
        <v>1368.5532061530901</v>
      </c>
      <c r="E8" s="32">
        <v>1164.2369788810299</v>
      </c>
      <c r="F8" s="32">
        <v>1090.50607262075</v>
      </c>
      <c r="G8" s="32">
        <v>1009.70005790985</v>
      </c>
      <c r="H8" s="32">
        <v>898.17643011861605</v>
      </c>
      <c r="I8" s="32">
        <v>885.079837016694</v>
      </c>
      <c r="Q8" s="48"/>
      <c r="R8" s="48"/>
    </row>
    <row r="9" spans="1:18" ht="15.75" customHeight="1">
      <c r="A9" s="90"/>
      <c r="B9" s="47">
        <v>50</v>
      </c>
      <c r="C9" s="32">
        <v>1454.71680029851</v>
      </c>
      <c r="D9" s="32">
        <v>1238.6827169179501</v>
      </c>
      <c r="E9" s="32">
        <v>1152.0547628771801</v>
      </c>
      <c r="F9" s="32">
        <v>1087.61477542541</v>
      </c>
      <c r="G9" s="32">
        <v>1026.5764796946</v>
      </c>
      <c r="H9" s="32">
        <v>837.45483638447399</v>
      </c>
      <c r="I9" s="32">
        <v>866.414893045555</v>
      </c>
      <c r="Q9" s="48"/>
      <c r="R9" s="48"/>
    </row>
    <row r="10" spans="1:18" ht="15.75" customHeight="1">
      <c r="A10" s="90"/>
      <c r="B10" s="47">
        <v>55</v>
      </c>
      <c r="C10" s="32">
        <v>1424.1009638092701</v>
      </c>
      <c r="D10" s="32">
        <v>1214.04001125338</v>
      </c>
      <c r="E10" s="32">
        <v>943.421802271773</v>
      </c>
      <c r="F10" s="32">
        <v>974.01742872271495</v>
      </c>
      <c r="G10" s="32">
        <v>860.74281237254797</v>
      </c>
      <c r="H10" s="32">
        <v>810.16527025437097</v>
      </c>
      <c r="I10" s="32">
        <v>778.85846841243801</v>
      </c>
      <c r="Q10" s="48"/>
      <c r="R10" s="48"/>
    </row>
    <row r="11" spans="1:18" ht="15.75" customHeight="1">
      <c r="A11" s="79"/>
      <c r="B11" s="47">
        <v>60</v>
      </c>
      <c r="C11" s="32">
        <v>1115.64380101242</v>
      </c>
      <c r="D11" s="32">
        <v>1165.99326567664</v>
      </c>
      <c r="E11" s="32">
        <v>855.42774899593098</v>
      </c>
      <c r="F11" s="32">
        <v>807.42108184627796</v>
      </c>
      <c r="G11" s="32">
        <v>728.48250342536903</v>
      </c>
      <c r="H11" s="32">
        <v>697.02513909167806</v>
      </c>
      <c r="I11" s="32">
        <v>722.565551622714</v>
      </c>
      <c r="Q11" s="48"/>
      <c r="R11" s="48"/>
    </row>
    <row r="12" spans="1:18" ht="15.75" customHeight="1">
      <c r="Q12" s="48"/>
      <c r="R12" s="48"/>
    </row>
    <row r="13" spans="1:18" ht="15.75" customHeight="1">
      <c r="Q13" s="48"/>
      <c r="R13" s="48"/>
    </row>
    <row r="14" spans="1:18" ht="15.75" customHeight="1">
      <c r="Q14" s="48"/>
      <c r="R14" s="48"/>
    </row>
    <row r="15" spans="1:18" ht="15.75" customHeight="1">
      <c r="Q15" s="48"/>
      <c r="R15" s="48"/>
    </row>
    <row r="16" spans="1:18" ht="15.75" customHeight="1">
      <c r="Q16" s="48"/>
      <c r="R16" s="48"/>
    </row>
    <row r="17" spans="17:18" ht="15.75" customHeight="1">
      <c r="Q17" s="48"/>
      <c r="R17" s="48"/>
    </row>
    <row r="18" spans="17:18" ht="15.75" customHeight="1">
      <c r="Q18" s="48"/>
      <c r="R18" s="48"/>
    </row>
    <row r="19" spans="17:18" ht="15.75" customHeight="1">
      <c r="Q19" s="48"/>
      <c r="R19" s="48"/>
    </row>
    <row r="20" spans="17:18" ht="15.75" customHeight="1">
      <c r="Q20" s="48"/>
      <c r="R20" s="48"/>
    </row>
    <row r="21" spans="17:18" ht="15.75" customHeight="1">
      <c r="Q21" s="48"/>
      <c r="R21" s="48"/>
    </row>
    <row r="22" spans="17:18" ht="15.75" customHeight="1">
      <c r="Q22" s="48"/>
      <c r="R22" s="48"/>
    </row>
    <row r="23" spans="17:18" ht="15.75" customHeight="1">
      <c r="Q23" s="48"/>
      <c r="R23" s="48"/>
    </row>
    <row r="24" spans="17:18" ht="15.75" customHeight="1">
      <c r="Q24" s="48"/>
      <c r="R24" s="48"/>
    </row>
    <row r="25" spans="17:18" ht="15.75" customHeight="1">
      <c r="Q25" s="48"/>
      <c r="R25" s="48"/>
    </row>
    <row r="26" spans="17:18" ht="15.75" customHeight="1">
      <c r="Q26" s="48"/>
      <c r="R26" s="48"/>
    </row>
    <row r="27" spans="17:18" ht="15.75" customHeight="1">
      <c r="Q27" s="48"/>
      <c r="R27" s="48"/>
    </row>
    <row r="28" spans="17:18" ht="15.75" customHeight="1">
      <c r="Q28" s="48"/>
      <c r="R28" s="48"/>
    </row>
    <row r="29" spans="17:18" ht="15.75" customHeight="1">
      <c r="Q29" s="48"/>
      <c r="R29" s="48"/>
    </row>
    <row r="30" spans="17:18" ht="15.75" customHeight="1">
      <c r="Q30" s="48"/>
      <c r="R30" s="48"/>
    </row>
    <row r="31" spans="17:18" ht="15.75" customHeight="1">
      <c r="Q31" s="48"/>
      <c r="R31" s="48"/>
    </row>
    <row r="32" spans="17:18" ht="15.75" customHeight="1">
      <c r="Q32" s="48"/>
      <c r="R32" s="48"/>
    </row>
    <row r="33" spans="17:18" ht="15.75" customHeight="1">
      <c r="Q33" s="48"/>
      <c r="R33" s="48"/>
    </row>
    <row r="34" spans="17:18" ht="15.75" customHeight="1">
      <c r="Q34" s="48"/>
      <c r="R34" s="48"/>
    </row>
    <row r="35" spans="17:18" ht="15.75" customHeight="1">
      <c r="Q35" s="48"/>
      <c r="R35" s="48"/>
    </row>
    <row r="36" spans="17:18" ht="15.75" customHeight="1">
      <c r="Q36" s="48"/>
      <c r="R36" s="48"/>
    </row>
    <row r="37" spans="17:18" ht="15.75" customHeight="1">
      <c r="Q37" s="48"/>
      <c r="R37" s="48"/>
    </row>
    <row r="38" spans="17:18" ht="15.75" customHeight="1">
      <c r="Q38" s="48"/>
      <c r="R38" s="48"/>
    </row>
    <row r="39" spans="17:18" ht="15.75" customHeight="1">
      <c r="Q39" s="48"/>
      <c r="R39" s="48"/>
    </row>
    <row r="40" spans="17:18" ht="15.75" customHeight="1">
      <c r="Q40" s="48"/>
      <c r="R40" s="48"/>
    </row>
    <row r="41" spans="17:18" ht="15.75" customHeight="1">
      <c r="Q41" s="48"/>
      <c r="R41" s="48"/>
    </row>
    <row r="42" spans="17:18" ht="15.75" customHeight="1">
      <c r="Q42" s="48"/>
      <c r="R42" s="48"/>
    </row>
    <row r="43" spans="17:18" ht="15.75" customHeight="1">
      <c r="Q43" s="48"/>
      <c r="R43" s="48"/>
    </row>
    <row r="44" spans="17:18" ht="15.75" customHeight="1">
      <c r="Q44" s="48"/>
      <c r="R44" s="48"/>
    </row>
    <row r="45" spans="17:18" ht="15.75" customHeight="1">
      <c r="Q45" s="48"/>
      <c r="R45" s="48"/>
    </row>
    <row r="46" spans="17:18" ht="15.75" customHeight="1">
      <c r="Q46" s="48"/>
      <c r="R46" s="48"/>
    </row>
    <row r="47" spans="17:18" ht="15.75" customHeight="1">
      <c r="Q47" s="48"/>
      <c r="R47" s="48"/>
    </row>
    <row r="48" spans="17:18" ht="15.75" customHeight="1">
      <c r="Q48" s="48"/>
      <c r="R48" s="48"/>
    </row>
    <row r="49" spans="17:18" ht="15.75" customHeight="1">
      <c r="Q49" s="48"/>
      <c r="R49" s="48"/>
    </row>
    <row r="50" spans="17:18" ht="15.75" customHeight="1">
      <c r="Q50" s="48"/>
      <c r="R50" s="48"/>
    </row>
    <row r="51" spans="17:18" ht="15.75" customHeight="1">
      <c r="Q51" s="48"/>
      <c r="R51" s="48"/>
    </row>
    <row r="52" spans="17:18" ht="15.75" customHeight="1">
      <c r="Q52" s="48"/>
      <c r="R52" s="48"/>
    </row>
    <row r="53" spans="17:18" ht="15.75" customHeight="1">
      <c r="Q53" s="48"/>
      <c r="R53" s="48"/>
    </row>
    <row r="54" spans="17:18" ht="15.75" customHeight="1">
      <c r="Q54" s="48"/>
      <c r="R54" s="48"/>
    </row>
    <row r="55" spans="17:18" ht="15.75" customHeight="1">
      <c r="Q55" s="48"/>
      <c r="R55" s="48"/>
    </row>
    <row r="56" spans="17:18" ht="15.75" customHeight="1">
      <c r="Q56" s="48"/>
      <c r="R56" s="48"/>
    </row>
    <row r="57" spans="17:18" ht="15.75" customHeight="1">
      <c r="Q57" s="48"/>
      <c r="R57" s="48"/>
    </row>
    <row r="58" spans="17:18" ht="15.75" customHeight="1">
      <c r="Q58" s="48"/>
      <c r="R58" s="48"/>
    </row>
    <row r="59" spans="17:18" ht="15.75" customHeight="1">
      <c r="Q59" s="48"/>
      <c r="R59" s="48"/>
    </row>
    <row r="60" spans="17:18" ht="15.75" customHeight="1">
      <c r="Q60" s="48"/>
      <c r="R60" s="48"/>
    </row>
    <row r="61" spans="17:18" ht="15.75" customHeight="1">
      <c r="Q61" s="48"/>
      <c r="R61" s="48"/>
    </row>
    <row r="62" spans="17:18" ht="15.75" customHeight="1">
      <c r="Q62" s="48"/>
      <c r="R62" s="48"/>
    </row>
    <row r="63" spans="17:18" ht="15.75" customHeight="1">
      <c r="Q63" s="48"/>
      <c r="R63" s="48"/>
    </row>
    <row r="64" spans="17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2"/>
    <mergeCell ref="C3:I3"/>
    <mergeCell ref="A4:A1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B275-A437-6741-BCC5-67AA0EF80502}">
  <dimension ref="A2:I12"/>
  <sheetViews>
    <sheetView zoomScale="115" zoomScaleNormal="158" workbookViewId="0">
      <selection activeCell="I12" sqref="C6:I12"/>
    </sheetView>
  </sheetViews>
  <sheetFormatPr baseColWidth="10" defaultRowHeight="16"/>
  <sheetData>
    <row r="2" spans="1:9">
      <c r="A2" s="82" t="s">
        <v>93</v>
      </c>
      <c r="B2" s="83"/>
      <c r="C2" s="83"/>
      <c r="D2" s="83"/>
      <c r="E2" s="83"/>
      <c r="F2" s="83"/>
      <c r="G2" s="83"/>
      <c r="H2" s="83"/>
      <c r="I2" s="84"/>
    </row>
    <row r="3" spans="1:9">
      <c r="A3" s="85"/>
      <c r="B3" s="86"/>
      <c r="C3" s="86"/>
      <c r="D3" s="86"/>
      <c r="E3" s="86"/>
      <c r="F3" s="86"/>
      <c r="G3" s="86"/>
      <c r="H3" s="86"/>
      <c r="I3" s="87"/>
    </row>
    <row r="4" spans="1:9">
      <c r="B4" s="44"/>
      <c r="C4" s="88" t="s">
        <v>70</v>
      </c>
      <c r="D4" s="73"/>
      <c r="E4" s="73"/>
      <c r="F4" s="73"/>
      <c r="G4" s="73"/>
      <c r="H4" s="73"/>
      <c r="I4" s="74"/>
    </row>
    <row r="5" spans="1:9">
      <c r="A5" s="89" t="s">
        <v>71</v>
      </c>
      <c r="B5" s="45"/>
      <c r="C5" s="46">
        <v>10</v>
      </c>
      <c r="D5" s="46">
        <v>15</v>
      </c>
      <c r="E5" s="46">
        <v>20</v>
      </c>
      <c r="F5" s="46">
        <v>25</v>
      </c>
      <c r="G5" s="46">
        <v>30</v>
      </c>
      <c r="H5" s="46">
        <v>35</v>
      </c>
      <c r="I5" s="46">
        <v>40</v>
      </c>
    </row>
    <row r="6" spans="1:9">
      <c r="A6" s="90"/>
      <c r="B6" s="47">
        <v>30</v>
      </c>
      <c r="C6" s="32">
        <v>4.1795803122172002</v>
      </c>
      <c r="D6" s="32">
        <v>3.9810931441281698</v>
      </c>
      <c r="E6" s="32">
        <v>3.90111410921011</v>
      </c>
      <c r="F6" s="32">
        <v>3.8578277662732101</v>
      </c>
      <c r="G6" s="32">
        <v>3.6961529118829501</v>
      </c>
      <c r="H6" s="32">
        <v>3.93475769867801</v>
      </c>
      <c r="I6" s="32">
        <v>3.8333849871928001</v>
      </c>
    </row>
    <row r="7" spans="1:9">
      <c r="A7" s="90"/>
      <c r="B7" s="47">
        <v>35</v>
      </c>
      <c r="C7" s="32">
        <v>3.9397202763316401</v>
      </c>
      <c r="D7" s="32">
        <v>3.8833159004483901</v>
      </c>
      <c r="E7" s="32">
        <v>3.9750994326189999</v>
      </c>
      <c r="F7" s="32">
        <v>3.9755485631951202</v>
      </c>
      <c r="G7" s="32">
        <v>3.7693745888013801</v>
      </c>
      <c r="H7" s="32">
        <v>3.9179785642970502</v>
      </c>
      <c r="I7" s="32">
        <v>3.7998399110466998</v>
      </c>
    </row>
    <row r="8" spans="1:9">
      <c r="A8" s="90"/>
      <c r="B8" s="47">
        <v>40</v>
      </c>
      <c r="C8" s="32">
        <v>3.8357769840819498</v>
      </c>
      <c r="D8" s="32">
        <v>3.81612676644531</v>
      </c>
      <c r="E8" s="32">
        <v>3.8189844354284501</v>
      </c>
      <c r="F8" s="32">
        <v>3.7359754479183702</v>
      </c>
      <c r="G8" s="32">
        <v>3.6659478467919402</v>
      </c>
      <c r="H8" s="32">
        <v>3.7448787025344501</v>
      </c>
      <c r="I8" s="32">
        <v>3.6951531233575601</v>
      </c>
    </row>
    <row r="9" spans="1:9">
      <c r="A9" s="90"/>
      <c r="B9" s="47">
        <v>45</v>
      </c>
      <c r="C9" s="32">
        <v>3.7996176204091898</v>
      </c>
      <c r="D9" s="32">
        <v>3.71816775082611</v>
      </c>
      <c r="E9" s="32">
        <v>3.8005434920567698</v>
      </c>
      <c r="F9" s="32">
        <v>3.7947986322529901</v>
      </c>
      <c r="G9" s="32">
        <v>3.6266725004625902</v>
      </c>
      <c r="H9" s="32">
        <v>3.8084781932391398</v>
      </c>
      <c r="I9" s="32">
        <v>3.7023453983832399</v>
      </c>
    </row>
    <row r="10" spans="1:9">
      <c r="A10" s="90"/>
      <c r="B10" s="47">
        <v>50</v>
      </c>
      <c r="C10" s="32">
        <v>3.77954757502417</v>
      </c>
      <c r="D10" s="32">
        <v>3.8947741242165801</v>
      </c>
      <c r="E10" s="32">
        <v>3.92179201358798</v>
      </c>
      <c r="F10" s="32">
        <v>3.7271132538786098</v>
      </c>
      <c r="G10" s="32">
        <v>3.57454979571627</v>
      </c>
      <c r="H10" s="32">
        <v>3.7619969714063801</v>
      </c>
      <c r="I10" s="32">
        <v>3.6197722890361899</v>
      </c>
    </row>
    <row r="11" spans="1:9">
      <c r="A11" s="90"/>
      <c r="B11" s="47">
        <v>55</v>
      </c>
      <c r="C11" s="32">
        <v>3.7945169607012601</v>
      </c>
      <c r="D11" s="32">
        <v>3.7893129552171598</v>
      </c>
      <c r="E11" s="32">
        <v>3.74445911814967</v>
      </c>
      <c r="F11" s="32">
        <v>3.6248094848581398</v>
      </c>
      <c r="G11" s="32">
        <v>3.5008150152904101</v>
      </c>
      <c r="H11" s="32">
        <v>3.7240514330773902</v>
      </c>
      <c r="I11" s="32">
        <v>3.6307083599896202</v>
      </c>
    </row>
    <row r="12" spans="1:9">
      <c r="A12" s="79"/>
      <c r="B12" s="47">
        <v>60</v>
      </c>
      <c r="C12" s="32">
        <v>3.87515889587009</v>
      </c>
      <c r="D12" s="32">
        <v>3.70880448729066</v>
      </c>
      <c r="E12" s="32">
        <v>3.7214346049415101</v>
      </c>
      <c r="F12" s="32">
        <v>3.6198883998354598</v>
      </c>
      <c r="G12" s="32">
        <v>3.6303067336441299</v>
      </c>
      <c r="H12" s="32">
        <v>3.6811216232117201</v>
      </c>
      <c r="I12" s="32">
        <v>3.5568141127072899</v>
      </c>
    </row>
  </sheetData>
  <mergeCells count="3">
    <mergeCell ref="A2:I3"/>
    <mergeCell ref="C4:I4"/>
    <mergeCell ref="A5:A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3144-4468-0E49-A1BA-EA82A5C866AB}">
  <dimension ref="A1:V11"/>
  <sheetViews>
    <sheetView zoomScale="143" zoomScaleNormal="108" workbookViewId="0">
      <selection activeCell="I11" sqref="C5:I11"/>
    </sheetView>
  </sheetViews>
  <sheetFormatPr baseColWidth="10" defaultRowHeight="16"/>
  <cols>
    <col min="3" max="3" width="16.5" customWidth="1"/>
    <col min="21" max="21" width="23" customWidth="1"/>
    <col min="22" max="22" width="27.5" customWidth="1"/>
  </cols>
  <sheetData>
    <row r="1" spans="1:22">
      <c r="A1" s="82" t="s">
        <v>94</v>
      </c>
      <c r="B1" s="83"/>
      <c r="C1" s="83"/>
      <c r="D1" s="83"/>
      <c r="E1" s="83"/>
      <c r="F1" s="83"/>
      <c r="G1" s="83"/>
      <c r="H1" s="83"/>
      <c r="I1" s="84"/>
      <c r="K1" t="s">
        <v>95</v>
      </c>
    </row>
    <row r="2" spans="1:22">
      <c r="A2" s="85"/>
      <c r="B2" s="86"/>
      <c r="C2" s="86"/>
      <c r="D2" s="86"/>
      <c r="E2" s="86"/>
      <c r="F2" s="86"/>
      <c r="G2" s="86"/>
      <c r="H2" s="86"/>
      <c r="I2" s="87"/>
      <c r="U2" t="s">
        <v>96</v>
      </c>
      <c r="V2" t="s">
        <v>97</v>
      </c>
    </row>
    <row r="3" spans="1:22" ht="18">
      <c r="B3" s="44"/>
      <c r="C3" s="88" t="s">
        <v>70</v>
      </c>
      <c r="D3" s="73"/>
      <c r="E3" s="73"/>
      <c r="F3" s="73"/>
      <c r="G3" s="73"/>
      <c r="H3" s="73"/>
      <c r="I3" s="74"/>
      <c r="K3" s="62"/>
      <c r="L3" s="63"/>
      <c r="M3" s="63"/>
      <c r="N3" s="63"/>
      <c r="O3" s="63"/>
      <c r="P3" s="63"/>
      <c r="Q3" s="63"/>
      <c r="U3" s="64"/>
      <c r="V3" s="64"/>
    </row>
    <row r="4" spans="1:22" ht="18" customHeight="1">
      <c r="A4" s="89" t="s">
        <v>71</v>
      </c>
      <c r="B4" s="45"/>
      <c r="C4" s="46">
        <v>10</v>
      </c>
      <c r="D4" s="46">
        <v>15</v>
      </c>
      <c r="E4" s="46">
        <v>20</v>
      </c>
      <c r="F4" s="46">
        <v>25</v>
      </c>
      <c r="G4" s="46">
        <v>30</v>
      </c>
      <c r="H4" s="46">
        <v>35</v>
      </c>
      <c r="I4" s="46">
        <v>40</v>
      </c>
      <c r="K4" s="32"/>
      <c r="L4" s="32"/>
      <c r="M4" s="32"/>
      <c r="N4" s="32"/>
      <c r="O4" s="32"/>
      <c r="P4" s="32"/>
      <c r="Q4" s="32"/>
      <c r="U4" s="64"/>
      <c r="V4" s="64"/>
    </row>
    <row r="5" spans="1:22" ht="18">
      <c r="A5" s="90"/>
      <c r="B5" s="47">
        <v>30</v>
      </c>
      <c r="C5" s="32">
        <v>5.6586378407137001</v>
      </c>
      <c r="D5" s="32">
        <v>5.41224279397741</v>
      </c>
      <c r="E5" s="32">
        <v>4.7061333952361899</v>
      </c>
      <c r="F5" s="32">
        <v>4.9308099335128297</v>
      </c>
      <c r="G5" s="32">
        <v>4.6095926735562198</v>
      </c>
      <c r="H5" s="32">
        <v>4.9844492754275702</v>
      </c>
      <c r="I5" s="32">
        <v>4.68590311390889</v>
      </c>
      <c r="U5" s="64"/>
      <c r="V5" s="64"/>
    </row>
    <row r="6" spans="1:22" ht="18">
      <c r="A6" s="90"/>
      <c r="B6" s="47">
        <v>35</v>
      </c>
      <c r="C6" s="32">
        <v>6.0268985054083002</v>
      </c>
      <c r="D6" s="32">
        <v>5.7850549158889599</v>
      </c>
      <c r="E6" s="32">
        <v>4.9504796309900101</v>
      </c>
      <c r="F6" s="32">
        <v>5.1537001646128102</v>
      </c>
      <c r="G6" s="32">
        <v>4.5467398842792202</v>
      </c>
      <c r="H6" s="32">
        <v>4.5198224923081298</v>
      </c>
      <c r="I6" s="32">
        <v>4.6847629160870001</v>
      </c>
      <c r="U6" s="64"/>
      <c r="V6" s="64"/>
    </row>
    <row r="7" spans="1:22" ht="18">
      <c r="A7" s="90"/>
      <c r="B7" s="47">
        <v>40</v>
      </c>
      <c r="C7" s="32">
        <v>5.4711256246900497</v>
      </c>
      <c r="D7" s="32">
        <v>4.5689951562554496</v>
      </c>
      <c r="E7" s="32">
        <v>4.9921881480796104</v>
      </c>
      <c r="F7" s="32">
        <v>4.5497562836728296</v>
      </c>
      <c r="G7" s="32">
        <v>4.1689333429151496</v>
      </c>
      <c r="H7" s="32">
        <v>4.5099148169658498</v>
      </c>
      <c r="I7" s="32">
        <v>4.4174341748043604</v>
      </c>
      <c r="U7" s="64"/>
      <c r="V7" s="64"/>
    </row>
    <row r="8" spans="1:22" ht="18">
      <c r="A8" s="90"/>
      <c r="B8" s="47">
        <v>45</v>
      </c>
      <c r="C8" s="32">
        <v>5.1313730785478402</v>
      </c>
      <c r="D8" s="32">
        <v>5.5302333018591803</v>
      </c>
      <c r="E8" s="32">
        <v>4.4835409249613196</v>
      </c>
      <c r="F8" s="32">
        <v>4.9160093997207701</v>
      </c>
      <c r="G8" s="32">
        <v>4.3272577853818603</v>
      </c>
      <c r="H8" s="32">
        <v>4.2273615643617601</v>
      </c>
      <c r="I8" s="32">
        <v>4.1058612016383496</v>
      </c>
      <c r="U8" s="64"/>
      <c r="V8" s="64"/>
    </row>
    <row r="9" spans="1:22" ht="18">
      <c r="A9" s="90"/>
      <c r="B9" s="47">
        <v>50</v>
      </c>
      <c r="C9" s="32">
        <v>4.8299771065424402</v>
      </c>
      <c r="D9" s="32">
        <v>4.6141141310016396</v>
      </c>
      <c r="E9" s="32">
        <v>4.5581799110589598</v>
      </c>
      <c r="F9" s="32">
        <v>4.4407837554643104</v>
      </c>
      <c r="G9" s="32">
        <v>4.28056521866342</v>
      </c>
      <c r="H9" s="32">
        <v>3.9248568682663301</v>
      </c>
      <c r="I9" s="32">
        <v>4.00249035612193</v>
      </c>
      <c r="U9" s="64"/>
      <c r="V9" s="64"/>
    </row>
    <row r="10" spans="1:22">
      <c r="A10" s="90"/>
      <c r="B10" s="47">
        <v>55</v>
      </c>
      <c r="C10" s="32">
        <v>4.7576764662808202</v>
      </c>
      <c r="D10" s="32">
        <v>5.18405725803414</v>
      </c>
      <c r="E10" s="32">
        <v>4.6266538144252403</v>
      </c>
      <c r="F10" s="32">
        <v>4.3892845991191098</v>
      </c>
      <c r="G10" s="32">
        <v>4.1195119038035202</v>
      </c>
      <c r="H10" s="32">
        <v>3.9259301307995198</v>
      </c>
      <c r="I10" s="32">
        <v>3.8780232041259999</v>
      </c>
    </row>
    <row r="11" spans="1:22">
      <c r="A11" s="79"/>
      <c r="B11" s="47">
        <v>60</v>
      </c>
      <c r="C11" s="32">
        <v>4.72636595522492</v>
      </c>
      <c r="D11" s="32">
        <v>4.5505808761170901</v>
      </c>
      <c r="E11" s="32">
        <v>4.4406453740728198</v>
      </c>
      <c r="F11" s="32">
        <v>4.22294692541006</v>
      </c>
      <c r="G11" s="32">
        <v>4.0144356839087099</v>
      </c>
      <c r="H11" s="32">
        <v>4.0332667271900302</v>
      </c>
      <c r="I11" s="32">
        <v>3.9682414412181699</v>
      </c>
    </row>
  </sheetData>
  <mergeCells count="3">
    <mergeCell ref="A1:I2"/>
    <mergeCell ref="C3:I3"/>
    <mergeCell ref="A4:A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00"/>
  <sheetViews>
    <sheetView topLeftCell="O62" zoomScale="101" zoomScaleNormal="111" workbookViewId="0">
      <selection activeCell="U68" sqref="U68:U88"/>
    </sheetView>
  </sheetViews>
  <sheetFormatPr baseColWidth="10" defaultColWidth="11.1640625" defaultRowHeight="15" customHeight="1"/>
  <cols>
    <col min="1" max="1" width="32.6640625" customWidth="1"/>
    <col min="2" max="2" width="46.33203125" customWidth="1"/>
    <col min="3" max="3" width="34.83203125" customWidth="1"/>
    <col min="4" max="4" width="25.5" customWidth="1"/>
    <col min="5" max="13" width="10.5" customWidth="1"/>
    <col min="14" max="14" width="25.83203125" customWidth="1"/>
    <col min="15" max="15" width="33.6640625" customWidth="1"/>
    <col min="16" max="16" width="30.5" customWidth="1"/>
    <col min="17" max="18" width="10.5" customWidth="1"/>
    <col min="19" max="19" width="23.6640625" customWidth="1"/>
    <col min="20" max="20" width="24.6640625" customWidth="1"/>
    <col min="21" max="21" width="35.33203125" customWidth="1"/>
    <col min="22" max="22" width="23.1640625" customWidth="1"/>
    <col min="23" max="26" width="10.5" customWidth="1"/>
    <col min="33" max="33" width="29.5" customWidth="1"/>
    <col min="34" max="34" width="32.83203125" customWidth="1"/>
  </cols>
  <sheetData>
    <row r="1" spans="1:16" ht="15.75" customHeight="1">
      <c r="A1" s="5" t="s">
        <v>72</v>
      </c>
      <c r="B1" s="5" t="s">
        <v>74</v>
      </c>
      <c r="C1" s="5" t="s">
        <v>73</v>
      </c>
    </row>
    <row r="2" spans="1:16" ht="15.75" customHeight="1">
      <c r="A2" s="9">
        <v>7871</v>
      </c>
      <c r="B2" s="48">
        <v>647.072031034671</v>
      </c>
      <c r="C2" s="9">
        <v>8</v>
      </c>
      <c r="N2" s="52" t="s">
        <v>72</v>
      </c>
      <c r="O2" s="49" t="s">
        <v>75</v>
      </c>
      <c r="P2" s="52" t="s">
        <v>73</v>
      </c>
    </row>
    <row r="3" spans="1:16" ht="15.75" customHeight="1">
      <c r="A3" s="9">
        <v>845</v>
      </c>
      <c r="B3" s="48">
        <v>129.92768008932899</v>
      </c>
      <c r="C3" s="9">
        <v>9</v>
      </c>
      <c r="N3" s="52">
        <v>156</v>
      </c>
      <c r="O3" s="49">
        <v>5643.2066227185996</v>
      </c>
    </row>
    <row r="4" spans="1:16" ht="15.75" customHeight="1">
      <c r="A4" s="9">
        <v>2330</v>
      </c>
      <c r="B4" s="48">
        <v>253.98394316426501</v>
      </c>
      <c r="C4" s="9">
        <v>6</v>
      </c>
      <c r="N4" s="52">
        <v>202</v>
      </c>
      <c r="O4" s="49">
        <v>680.77217723848298</v>
      </c>
    </row>
    <row r="5" spans="1:16" ht="15.75" customHeight="1">
      <c r="A5" s="9">
        <v>21272</v>
      </c>
      <c r="B5" s="48">
        <v>1055.88266584597</v>
      </c>
      <c r="C5" s="9">
        <v>2</v>
      </c>
      <c r="N5" s="52">
        <v>173</v>
      </c>
      <c r="O5" s="49">
        <v>1432.94697364167</v>
      </c>
    </row>
    <row r="6" spans="1:16" ht="15.75" customHeight="1">
      <c r="A6" s="9">
        <v>4224</v>
      </c>
      <c r="B6" s="48">
        <v>382.96807419697399</v>
      </c>
      <c r="C6" s="9">
        <v>4</v>
      </c>
      <c r="N6" s="52">
        <v>331</v>
      </c>
      <c r="O6" s="49">
        <v>14951.3340752925</v>
      </c>
    </row>
    <row r="7" spans="1:16" ht="15.75" customHeight="1">
      <c r="A7" s="9">
        <v>2826</v>
      </c>
      <c r="B7" s="48">
        <v>345.01141106376502</v>
      </c>
      <c r="C7" s="9">
        <v>8</v>
      </c>
      <c r="N7" s="52">
        <v>124</v>
      </c>
      <c r="O7" s="49">
        <v>3061.4253362237901</v>
      </c>
    </row>
    <row r="8" spans="1:16" ht="15.75" customHeight="1">
      <c r="A8" s="9">
        <v>7320</v>
      </c>
      <c r="B8" s="48">
        <v>822.44413161062403</v>
      </c>
      <c r="C8" s="9">
        <v>3</v>
      </c>
      <c r="N8" s="52">
        <v>339</v>
      </c>
      <c r="O8" s="49">
        <v>1659.0639903205899</v>
      </c>
    </row>
    <row r="9" spans="1:16" ht="15.75" customHeight="1">
      <c r="A9" s="9">
        <v>9125</v>
      </c>
      <c r="B9" s="48">
        <v>1240.84426512043</v>
      </c>
      <c r="C9" s="9">
        <v>2</v>
      </c>
      <c r="N9" s="52">
        <v>97</v>
      </c>
      <c r="O9" s="49">
        <v>5089.2983179311404</v>
      </c>
    </row>
    <row r="10" spans="1:16" ht="15.75" customHeight="1">
      <c r="A10" s="9">
        <v>11900</v>
      </c>
      <c r="B10" s="48">
        <v>1657.7429597543901</v>
      </c>
      <c r="C10" s="9">
        <v>3</v>
      </c>
      <c r="N10" s="52">
        <v>257</v>
      </c>
      <c r="O10" s="49">
        <v>5504.9954272538398</v>
      </c>
    </row>
    <row r="11" spans="1:16" ht="15.75" customHeight="1">
      <c r="A11" s="9">
        <v>4300</v>
      </c>
      <c r="B11" s="48">
        <v>484.33633027399702</v>
      </c>
      <c r="C11" s="9">
        <v>3</v>
      </c>
      <c r="N11" s="52">
        <v>84</v>
      </c>
      <c r="O11" s="49">
        <v>9002.4075674962805</v>
      </c>
    </row>
    <row r="12" spans="1:16" ht="15.75" customHeight="1">
      <c r="A12" s="9">
        <v>4150</v>
      </c>
      <c r="B12" s="48">
        <v>739.06353081845305</v>
      </c>
      <c r="C12" s="9">
        <v>6</v>
      </c>
      <c r="N12" s="52">
        <v>211</v>
      </c>
      <c r="O12" s="49">
        <v>3205.55886356366</v>
      </c>
    </row>
    <row r="13" spans="1:16" ht="15.75" customHeight="1">
      <c r="A13" s="9">
        <v>900</v>
      </c>
      <c r="B13" s="48">
        <v>107.968719315844</v>
      </c>
      <c r="C13" s="9">
        <v>7</v>
      </c>
      <c r="N13" s="52">
        <v>131</v>
      </c>
      <c r="O13" s="49">
        <v>3394.81353657826</v>
      </c>
    </row>
    <row r="14" spans="1:16" ht="15.75" customHeight="1">
      <c r="A14" s="9">
        <v>583</v>
      </c>
      <c r="B14" s="48">
        <v>128.79901527011299</v>
      </c>
      <c r="C14" s="9">
        <v>6</v>
      </c>
      <c r="N14" s="52">
        <v>112</v>
      </c>
      <c r="O14" s="49">
        <v>697.75744223145898</v>
      </c>
    </row>
    <row r="15" spans="1:16" ht="15.75" customHeight="1">
      <c r="A15" s="9">
        <v>2565</v>
      </c>
      <c r="B15" s="48">
        <v>358.813659671756</v>
      </c>
      <c r="C15" s="9">
        <v>7</v>
      </c>
      <c r="N15" s="52">
        <v>101</v>
      </c>
      <c r="O15" s="49">
        <v>365.74072353058699</v>
      </c>
    </row>
    <row r="16" spans="1:16" ht="15.75" customHeight="1">
      <c r="A16" s="9">
        <v>4047</v>
      </c>
      <c r="B16" s="48">
        <v>370.99285910676502</v>
      </c>
      <c r="C16" s="9">
        <v>8</v>
      </c>
      <c r="N16" s="52">
        <v>74</v>
      </c>
      <c r="O16" s="49">
        <v>1831.46779017988</v>
      </c>
    </row>
    <row r="17" spans="1:15" ht="15.75" customHeight="1">
      <c r="A17" s="9">
        <v>1520</v>
      </c>
      <c r="B17" s="48">
        <v>210.98085814626</v>
      </c>
      <c r="C17" s="9">
        <v>3</v>
      </c>
      <c r="N17" s="52">
        <v>62</v>
      </c>
      <c r="O17" s="49">
        <v>3002.5686740799301</v>
      </c>
    </row>
    <row r="18" spans="1:15" ht="15.75" customHeight="1">
      <c r="A18" s="9">
        <v>25910</v>
      </c>
      <c r="B18" s="48">
        <v>1849.4407605172801</v>
      </c>
      <c r="C18" s="9">
        <v>7</v>
      </c>
      <c r="N18" s="52">
        <v>289</v>
      </c>
      <c r="O18" s="49">
        <v>1193.93855897507</v>
      </c>
    </row>
    <row r="19" spans="1:15" ht="15.75" customHeight="1">
      <c r="A19" s="9">
        <v>37286</v>
      </c>
      <c r="B19" s="48">
        <v>2474.8211804696298</v>
      </c>
      <c r="C19" s="9">
        <v>5</v>
      </c>
      <c r="N19" s="52">
        <v>113</v>
      </c>
      <c r="O19" s="49">
        <v>17341.944242748599</v>
      </c>
    </row>
    <row r="20" spans="1:15" ht="15.75" customHeight="1">
      <c r="A20" s="9">
        <v>15052</v>
      </c>
      <c r="B20" s="48">
        <v>961.87813985939295</v>
      </c>
      <c r="C20" s="9">
        <v>1</v>
      </c>
      <c r="N20" s="52">
        <v>141</v>
      </c>
      <c r="O20" s="49">
        <v>28025.487228675102</v>
      </c>
    </row>
    <row r="21" spans="1:15" ht="15.75" customHeight="1">
      <c r="A21" s="9">
        <v>11039</v>
      </c>
      <c r="B21" s="48">
        <v>671.12807560956901</v>
      </c>
      <c r="C21" s="9">
        <v>3</v>
      </c>
      <c r="N21" s="52">
        <v>213</v>
      </c>
      <c r="O21" s="49">
        <v>10530.2024113311</v>
      </c>
    </row>
    <row r="22" spans="1:15" ht="15.75" customHeight="1">
      <c r="A22" s="9">
        <v>18500</v>
      </c>
      <c r="B22" s="48">
        <v>2953.2825885594202</v>
      </c>
      <c r="C22" s="9">
        <v>6</v>
      </c>
      <c r="N22" s="52">
        <v>137</v>
      </c>
      <c r="O22" s="49">
        <v>8367.9188197630901</v>
      </c>
    </row>
    <row r="23" spans="1:15" ht="15.75" customHeight="1">
      <c r="A23" s="9">
        <v>9369</v>
      </c>
      <c r="B23" s="48">
        <v>501.38280502905201</v>
      </c>
      <c r="C23" s="9">
        <v>7</v>
      </c>
      <c r="N23" s="52">
        <v>91</v>
      </c>
      <c r="O23" s="49">
        <v>13980.691156474601</v>
      </c>
    </row>
    <row r="24" spans="1:15" ht="15.75" customHeight="1">
      <c r="A24" s="9">
        <v>7184</v>
      </c>
      <c r="B24" s="48">
        <v>915.59721382423004</v>
      </c>
      <c r="C24" s="9">
        <v>5</v>
      </c>
    </row>
    <row r="25" spans="1:15" ht="15.75" customHeight="1">
      <c r="A25" s="9">
        <v>10447</v>
      </c>
      <c r="B25" s="48">
        <v>873.70653611749003</v>
      </c>
      <c r="C25" s="9">
        <v>8</v>
      </c>
    </row>
    <row r="26" spans="1:15" ht="15.75" customHeight="1">
      <c r="A26" s="9">
        <v>5100</v>
      </c>
      <c r="B26" s="48">
        <v>463.389085395677</v>
      </c>
      <c r="C26" s="9">
        <v>7</v>
      </c>
    </row>
    <row r="27" spans="1:15" ht="15.75" customHeight="1">
      <c r="A27" s="9">
        <v>63694</v>
      </c>
      <c r="B27" s="48">
        <v>3920.4468038507898</v>
      </c>
      <c r="C27" s="9">
        <v>3</v>
      </c>
    </row>
    <row r="28" spans="1:15" ht="15.75" customHeight="1">
      <c r="A28" s="9">
        <v>1651</v>
      </c>
      <c r="B28" s="48">
        <v>253.01381877211799</v>
      </c>
      <c r="C28" s="9">
        <v>8</v>
      </c>
    </row>
    <row r="29" spans="1:15" ht="15.75" customHeight="1">
      <c r="A29" s="9">
        <v>1450</v>
      </c>
      <c r="B29" s="48">
        <v>195.59378088541499</v>
      </c>
      <c r="C29" s="9">
        <v>7</v>
      </c>
    </row>
    <row r="30" spans="1:15" ht="15.75" customHeight="1">
      <c r="A30" s="9">
        <v>1745</v>
      </c>
      <c r="B30" s="48">
        <v>248.241326901093</v>
      </c>
      <c r="C30" s="9">
        <v>8</v>
      </c>
    </row>
    <row r="31" spans="1:15" ht="15.75" customHeight="1">
      <c r="A31" s="9">
        <v>1798</v>
      </c>
      <c r="B31" s="48">
        <v>386.98809125809299</v>
      </c>
      <c r="C31" s="9">
        <v>4</v>
      </c>
    </row>
    <row r="32" spans="1:15" ht="15.75" customHeight="1">
      <c r="A32" s="9">
        <v>2957</v>
      </c>
      <c r="B32" s="48">
        <v>424.82698895688299</v>
      </c>
      <c r="C32" s="9">
        <v>4</v>
      </c>
    </row>
    <row r="33" spans="1:3" ht="15.75" customHeight="1">
      <c r="A33" s="9">
        <v>963</v>
      </c>
      <c r="B33" s="48">
        <v>204.02229121563499</v>
      </c>
      <c r="C33" s="9">
        <v>5</v>
      </c>
    </row>
    <row r="34" spans="1:3" ht="15.75" customHeight="1">
      <c r="A34" s="9">
        <v>1233</v>
      </c>
      <c r="B34" s="48">
        <v>177.25361676461301</v>
      </c>
      <c r="C34" s="9">
        <v>4</v>
      </c>
    </row>
    <row r="35" spans="1:3" ht="15.75" customHeight="1">
      <c r="A35" s="9">
        <v>3240</v>
      </c>
      <c r="B35" s="48">
        <v>839.95122846223899</v>
      </c>
      <c r="C35" s="9">
        <v>7</v>
      </c>
    </row>
    <row r="36" spans="1:3" ht="15.75" customHeight="1">
      <c r="A36" s="9">
        <v>10000</v>
      </c>
      <c r="B36" s="48">
        <v>1647.8371037526699</v>
      </c>
      <c r="C36" s="9">
        <v>6</v>
      </c>
    </row>
    <row r="37" spans="1:3" ht="15.75" customHeight="1">
      <c r="A37" s="9">
        <v>6800</v>
      </c>
      <c r="B37" s="48">
        <v>1035.1479858344101</v>
      </c>
      <c r="C37" s="9">
        <v>7</v>
      </c>
    </row>
    <row r="38" spans="1:3" ht="15.75" customHeight="1">
      <c r="A38" s="9">
        <v>3850</v>
      </c>
      <c r="B38" s="48">
        <v>547.85204125517305</v>
      </c>
      <c r="C38" s="9">
        <v>1</v>
      </c>
    </row>
    <row r="39" spans="1:3" ht="15.75" customHeight="1">
      <c r="A39" s="9">
        <v>14000</v>
      </c>
      <c r="B39" s="48">
        <v>2734.3646486534399</v>
      </c>
      <c r="C39" s="9">
        <v>7</v>
      </c>
    </row>
    <row r="40" spans="1:3" ht="15.75" customHeight="1">
      <c r="A40" s="9">
        <v>5787</v>
      </c>
      <c r="B40" s="48">
        <v>1459.5712961461099</v>
      </c>
      <c r="C40" s="9">
        <v>4</v>
      </c>
    </row>
    <row r="41" spans="1:3" ht="15.75" customHeight="1">
      <c r="A41" s="9">
        <v>9700</v>
      </c>
      <c r="B41" s="48">
        <v>2546.1288259429998</v>
      </c>
      <c r="C41" s="9">
        <v>9</v>
      </c>
    </row>
    <row r="42" spans="1:3" ht="15.75" customHeight="1">
      <c r="A42" s="9">
        <v>1100</v>
      </c>
      <c r="B42" s="48">
        <v>434.20323157454698</v>
      </c>
      <c r="C42" s="9">
        <v>7</v>
      </c>
    </row>
    <row r="43" spans="1:3" ht="15.75" customHeight="1">
      <c r="A43" s="9">
        <v>5578</v>
      </c>
      <c r="B43" s="48">
        <v>2084.9399966494602</v>
      </c>
      <c r="C43" s="9">
        <v>8</v>
      </c>
    </row>
    <row r="44" spans="1:3" ht="15.75" customHeight="1">
      <c r="A44" s="9">
        <v>1060</v>
      </c>
      <c r="B44" s="48">
        <v>529.58213187406295</v>
      </c>
      <c r="C44" s="9">
        <v>8</v>
      </c>
    </row>
    <row r="45" spans="1:3" ht="15.75" customHeight="1">
      <c r="A45" s="9">
        <v>5279</v>
      </c>
      <c r="B45" s="48">
        <v>2315.69983039618</v>
      </c>
      <c r="C45" s="9">
        <v>7</v>
      </c>
    </row>
    <row r="46" spans="1:3" ht="15.75" customHeight="1">
      <c r="A46" s="9">
        <v>8117</v>
      </c>
      <c r="B46" s="48">
        <v>2848.31033602669</v>
      </c>
      <c r="C46" s="9">
        <v>5</v>
      </c>
    </row>
    <row r="47" spans="1:3" ht="15.75" customHeight="1">
      <c r="A47" s="9">
        <v>8710</v>
      </c>
      <c r="B47" s="48">
        <v>3214.1666749195401</v>
      </c>
      <c r="C47" s="9">
        <v>6</v>
      </c>
    </row>
    <row r="48" spans="1:3" ht="15.75" customHeight="1">
      <c r="A48" s="9">
        <v>796</v>
      </c>
      <c r="B48" s="48">
        <v>318.11003118080401</v>
      </c>
      <c r="C48" s="9">
        <v>6</v>
      </c>
    </row>
    <row r="49" spans="1:3" ht="15.75" customHeight="1">
      <c r="A49" s="9">
        <v>11023</v>
      </c>
      <c r="B49" s="48">
        <v>2963.14075912931</v>
      </c>
      <c r="C49" s="9">
        <v>4</v>
      </c>
    </row>
    <row r="50" spans="1:3" ht="15.75" customHeight="1">
      <c r="A50" s="9">
        <v>1755</v>
      </c>
      <c r="B50" s="48">
        <v>504.68546677822701</v>
      </c>
      <c r="C50" s="9">
        <v>6</v>
      </c>
    </row>
    <row r="51" spans="1:3" ht="15.75" customHeight="1">
      <c r="A51" s="9">
        <v>5931</v>
      </c>
      <c r="B51" s="48">
        <v>1570.49544192186</v>
      </c>
      <c r="C51" s="9">
        <v>7</v>
      </c>
    </row>
    <row r="52" spans="1:3" ht="15.75" customHeight="1">
      <c r="A52" s="9">
        <v>4456</v>
      </c>
      <c r="B52" s="48">
        <v>1645.94775114763</v>
      </c>
      <c r="C52" s="9">
        <v>9</v>
      </c>
    </row>
    <row r="53" spans="1:3" ht="15.75" customHeight="1">
      <c r="A53" s="9">
        <v>3600</v>
      </c>
      <c r="B53" s="48">
        <v>1046.4650962358501</v>
      </c>
      <c r="C53" s="9">
        <v>3</v>
      </c>
    </row>
    <row r="54" spans="1:3" ht="15.75" customHeight="1">
      <c r="A54" s="9">
        <v>4557</v>
      </c>
      <c r="B54" s="48">
        <v>2228.4923841677901</v>
      </c>
      <c r="C54" s="9">
        <v>4</v>
      </c>
    </row>
    <row r="55" spans="1:3" ht="15.75" customHeight="1">
      <c r="A55" s="9">
        <v>8752</v>
      </c>
      <c r="B55" s="48">
        <v>2598.51208221875</v>
      </c>
      <c r="C55" s="9">
        <v>4</v>
      </c>
    </row>
    <row r="56" spans="1:3" ht="15.75" customHeight="1">
      <c r="A56" s="9">
        <v>3440</v>
      </c>
      <c r="B56" s="48">
        <v>1038.5100678404399</v>
      </c>
      <c r="C56" s="9">
        <v>5</v>
      </c>
    </row>
    <row r="57" spans="1:3" ht="15.75" customHeight="1">
      <c r="A57" s="9">
        <v>1981</v>
      </c>
      <c r="B57" s="48">
        <v>1003.3359433890899</v>
      </c>
      <c r="C57" s="9">
        <v>4</v>
      </c>
    </row>
    <row r="58" spans="1:3" ht="15.75" customHeight="1">
      <c r="A58" s="9">
        <v>13700</v>
      </c>
      <c r="B58" s="48">
        <v>2699.8779986763002</v>
      </c>
      <c r="C58" s="9">
        <v>1</v>
      </c>
    </row>
    <row r="59" spans="1:3" ht="15.75" customHeight="1">
      <c r="A59" s="9">
        <v>7105</v>
      </c>
      <c r="B59" s="48">
        <v>2255.3100451888299</v>
      </c>
      <c r="C59" s="9">
        <v>7</v>
      </c>
    </row>
    <row r="60" spans="1:3" ht="15.75" customHeight="1">
      <c r="A60" s="9">
        <v>6816</v>
      </c>
      <c r="B60" s="48">
        <v>1946.44600890942</v>
      </c>
      <c r="C60" s="9">
        <v>6</v>
      </c>
    </row>
    <row r="61" spans="1:3" ht="15.75" customHeight="1">
      <c r="A61" s="9">
        <v>4620</v>
      </c>
      <c r="B61" s="48">
        <v>1881.1092594393999</v>
      </c>
      <c r="C61" s="9">
        <v>8</v>
      </c>
    </row>
    <row r="62" spans="1:3" ht="15.75" customHeight="1">
      <c r="A62" s="9">
        <v>7451</v>
      </c>
      <c r="B62" s="48">
        <v>2210.2616511070401</v>
      </c>
      <c r="C62" s="9">
        <v>6</v>
      </c>
    </row>
    <row r="63" spans="1:3" ht="15.75" customHeight="1">
      <c r="A63" s="9">
        <v>39479</v>
      </c>
      <c r="B63" s="48">
        <v>9409.0742448418696</v>
      </c>
      <c r="C63" s="9">
        <v>7</v>
      </c>
    </row>
    <row r="64" spans="1:3" ht="15.75" customHeight="1"/>
    <row r="65" spans="1:34" ht="15.75" customHeight="1">
      <c r="E65" s="91" t="s">
        <v>81</v>
      </c>
      <c r="F65" s="91"/>
      <c r="S65" t="s">
        <v>79</v>
      </c>
    </row>
    <row r="66" spans="1:34" ht="15.75" customHeight="1">
      <c r="A66" s="55" t="s">
        <v>84</v>
      </c>
      <c r="B66" s="55" t="s">
        <v>85</v>
      </c>
      <c r="C66" s="56" t="s">
        <v>86</v>
      </c>
      <c r="D66" s="56" t="s">
        <v>87</v>
      </c>
      <c r="E66" t="s">
        <v>90</v>
      </c>
      <c r="F66" t="s">
        <v>89</v>
      </c>
      <c r="W66" s="91" t="s">
        <v>81</v>
      </c>
      <c r="X66" s="91"/>
    </row>
    <row r="67" spans="1:34" ht="15.75" customHeight="1">
      <c r="A67" s="56">
        <v>7871</v>
      </c>
      <c r="B67" s="57">
        <v>647.43159543970296</v>
      </c>
      <c r="C67" s="53">
        <v>2100.6146631430502</v>
      </c>
      <c r="D67" s="4">
        <v>647</v>
      </c>
      <c r="E67">
        <f>B67-D67</f>
        <v>0.43159543970295999</v>
      </c>
      <c r="F67">
        <f>C67-D67</f>
        <v>1453.6146631430502</v>
      </c>
      <c r="N67" s="53" t="s">
        <v>72</v>
      </c>
      <c r="O67" s="54" t="s">
        <v>78</v>
      </c>
      <c r="P67" s="53" t="s">
        <v>77</v>
      </c>
      <c r="Q67" t="s">
        <v>81</v>
      </c>
      <c r="S67" s="53" t="s">
        <v>88</v>
      </c>
      <c r="T67" s="54" t="s">
        <v>85</v>
      </c>
      <c r="U67" s="53" t="s">
        <v>86</v>
      </c>
      <c r="V67" s="53" t="s">
        <v>87</v>
      </c>
      <c r="W67" s="61" t="s">
        <v>89</v>
      </c>
      <c r="X67" s="61" t="s">
        <v>90</v>
      </c>
    </row>
    <row r="68" spans="1:34" ht="15.75" customHeight="1">
      <c r="A68" s="56">
        <v>845</v>
      </c>
      <c r="B68" s="54">
        <v>129.97134697631401</v>
      </c>
      <c r="C68" s="53">
        <v>198.103617639595</v>
      </c>
      <c r="D68" s="4">
        <v>130</v>
      </c>
      <c r="E68">
        <f t="shared" ref="E68:E128" si="0">B68-D68</f>
        <v>-2.865302368599032E-2</v>
      </c>
      <c r="F68">
        <f t="shared" ref="F68:F128" si="1">C68-D68</f>
        <v>68.103617639595001</v>
      </c>
      <c r="N68" s="56">
        <v>7871</v>
      </c>
      <c r="O68" s="53">
        <v>4922.8090901304904</v>
      </c>
      <c r="P68" s="56">
        <v>647</v>
      </c>
      <c r="Q68">
        <v>5450.2609502182204</v>
      </c>
      <c r="S68" s="53">
        <v>156</v>
      </c>
      <c r="T68" s="53">
        <v>63.003666303430499</v>
      </c>
      <c r="U68" s="53">
        <v>63.0250904821158</v>
      </c>
      <c r="V68" s="58">
        <v>63</v>
      </c>
      <c r="W68">
        <f>ABS(U68-V68)</f>
        <v>2.5090482115800228E-2</v>
      </c>
      <c r="X68">
        <f>ABS(T68-V68)</f>
        <v>3.6663034304993403E-3</v>
      </c>
    </row>
    <row r="69" spans="1:34" ht="15.75" customHeight="1">
      <c r="A69" s="56">
        <v>2330</v>
      </c>
      <c r="B69" s="57">
        <v>253.97251711927399</v>
      </c>
      <c r="C69" s="53">
        <v>774.01761363510695</v>
      </c>
      <c r="D69" s="4">
        <v>254</v>
      </c>
      <c r="E69">
        <f t="shared" si="0"/>
        <v>-2.7482880726012127E-2</v>
      </c>
      <c r="F69">
        <f t="shared" si="1"/>
        <v>520.01761363510695</v>
      </c>
      <c r="N69" s="56">
        <v>845</v>
      </c>
      <c r="O69" s="53">
        <v>635.05635699818095</v>
      </c>
      <c r="P69" s="56">
        <v>130</v>
      </c>
      <c r="Q69">
        <v>5450.2609502182204</v>
      </c>
      <c r="S69" s="54">
        <v>202</v>
      </c>
      <c r="T69" s="53">
        <v>92.009085118331299</v>
      </c>
      <c r="U69" s="53">
        <v>92.002315601860005</v>
      </c>
      <c r="V69" s="58">
        <v>92</v>
      </c>
      <c r="W69">
        <f t="shared" ref="W69:W88" si="2">ABS(U69-V69)</f>
        <v>2.3156018600047901E-3</v>
      </c>
      <c r="X69">
        <f t="shared" ref="X69:X88" si="3">ABS(T69-V69)</f>
        <v>9.0851183312992134E-3</v>
      </c>
      <c r="AG69" s="55" t="s">
        <v>74</v>
      </c>
      <c r="AH69" s="54" t="s">
        <v>78</v>
      </c>
    </row>
    <row r="70" spans="1:34" ht="15.75" customHeight="1">
      <c r="A70" s="56">
        <v>21272</v>
      </c>
      <c r="B70" s="57">
        <v>1258.94555614397</v>
      </c>
      <c r="C70" s="53">
        <v>5091.3452885180304</v>
      </c>
      <c r="D70" s="4">
        <v>1056</v>
      </c>
      <c r="E70">
        <f t="shared" si="0"/>
        <v>202.94555614396995</v>
      </c>
      <c r="F70">
        <f t="shared" si="1"/>
        <v>4035.3452885180304</v>
      </c>
      <c r="N70" s="56">
        <v>2330</v>
      </c>
      <c r="O70" s="53">
        <v>1595.1227990831801</v>
      </c>
      <c r="P70" s="56">
        <v>254</v>
      </c>
      <c r="S70" s="54">
        <v>173</v>
      </c>
      <c r="T70" s="53">
        <v>56.001041792351501</v>
      </c>
      <c r="U70" s="54">
        <v>56.007760073605397</v>
      </c>
      <c r="V70" s="58">
        <v>56</v>
      </c>
      <c r="W70">
        <f t="shared" si="2"/>
        <v>7.7600736053966557E-3</v>
      </c>
      <c r="X70">
        <f t="shared" si="3"/>
        <v>1.0417923515007033E-3</v>
      </c>
      <c r="AG70" s="57">
        <v>647.072031034671</v>
      </c>
      <c r="AH70" s="53">
        <v>4922.8090901304904</v>
      </c>
    </row>
    <row r="71" spans="1:34" ht="15.75" customHeight="1">
      <c r="A71" s="56">
        <v>4224</v>
      </c>
      <c r="B71" s="57">
        <v>672.31901612756894</v>
      </c>
      <c r="C71" s="53">
        <v>772.609594553134</v>
      </c>
      <c r="D71" s="4">
        <v>383</v>
      </c>
      <c r="E71">
        <f t="shared" si="0"/>
        <v>289.31901612756894</v>
      </c>
      <c r="F71">
        <f t="shared" si="1"/>
        <v>389.609594553134</v>
      </c>
      <c r="N71" s="56">
        <v>21272</v>
      </c>
      <c r="O71" s="53">
        <v>12730.4811711698</v>
      </c>
      <c r="P71" s="56">
        <v>1056</v>
      </c>
      <c r="S71" s="54">
        <v>331</v>
      </c>
      <c r="T71" s="53">
        <v>62.044162674737002</v>
      </c>
      <c r="U71" s="54">
        <v>58.989173090141499</v>
      </c>
      <c r="V71" s="58">
        <v>86</v>
      </c>
      <c r="W71">
        <f t="shared" si="2"/>
        <v>27.010826909858501</v>
      </c>
      <c r="X71">
        <f t="shared" si="3"/>
        <v>23.955837325262998</v>
      </c>
      <c r="AG71" s="54">
        <v>129.92768008932899</v>
      </c>
      <c r="AH71" s="53">
        <v>635.05635699818095</v>
      </c>
    </row>
    <row r="72" spans="1:34" ht="15.75" customHeight="1">
      <c r="A72" s="56">
        <v>2826</v>
      </c>
      <c r="B72" s="57">
        <v>344.76584368316702</v>
      </c>
      <c r="C72" s="53">
        <v>946.16591401230198</v>
      </c>
      <c r="D72" s="4">
        <v>345</v>
      </c>
      <c r="E72">
        <f t="shared" si="0"/>
        <v>-0.23415631683297988</v>
      </c>
      <c r="F72">
        <f t="shared" si="1"/>
        <v>601.16591401230198</v>
      </c>
      <c r="G72" s="60"/>
      <c r="N72" s="56">
        <v>4224</v>
      </c>
      <c r="O72" s="53">
        <v>2332.39644555729</v>
      </c>
      <c r="P72" s="56">
        <v>383</v>
      </c>
      <c r="S72" s="54">
        <v>124</v>
      </c>
      <c r="T72" s="53">
        <v>32.007668137332402</v>
      </c>
      <c r="U72" s="54">
        <v>32.023904830461099</v>
      </c>
      <c r="V72" s="58">
        <v>32</v>
      </c>
      <c r="W72">
        <f t="shared" si="2"/>
        <v>2.3904830461098925E-2</v>
      </c>
      <c r="X72">
        <f t="shared" si="3"/>
        <v>7.6681373324021251E-3</v>
      </c>
      <c r="AG72" s="57">
        <v>253.98394316426501</v>
      </c>
      <c r="AH72" s="53">
        <v>1595.1227990831801</v>
      </c>
    </row>
    <row r="73" spans="1:34" ht="15.75" customHeight="1">
      <c r="A73" s="56">
        <v>7320</v>
      </c>
      <c r="B73" s="57">
        <v>683.83385780340302</v>
      </c>
      <c r="C73" s="53">
        <v>1416.9935853300501</v>
      </c>
      <c r="D73" s="4">
        <v>209</v>
      </c>
      <c r="E73">
        <f t="shared" si="0"/>
        <v>474.83385780340302</v>
      </c>
      <c r="F73">
        <f t="shared" si="1"/>
        <v>1207.9935853300501</v>
      </c>
      <c r="N73" s="56">
        <v>2826</v>
      </c>
      <c r="O73" s="53">
        <v>1902.8990191723401</v>
      </c>
      <c r="P73" s="56">
        <v>345</v>
      </c>
      <c r="S73" s="54">
        <v>339</v>
      </c>
      <c r="T73" s="53">
        <v>82.682926829268297</v>
      </c>
      <c r="U73" s="54">
        <v>88.048333213222193</v>
      </c>
      <c r="V73" s="58">
        <v>32</v>
      </c>
      <c r="W73">
        <f t="shared" si="2"/>
        <v>56.048333213222193</v>
      </c>
      <c r="X73">
        <f t="shared" si="3"/>
        <v>50.682926829268297</v>
      </c>
      <c r="AG73" s="57">
        <v>1055.88266584597</v>
      </c>
      <c r="AH73" s="53">
        <v>12730.4811711698</v>
      </c>
    </row>
    <row r="74" spans="1:34" ht="15.75" customHeight="1">
      <c r="A74" s="56">
        <v>9125</v>
      </c>
      <c r="B74" s="57">
        <v>819.56893897362397</v>
      </c>
      <c r="C74" s="53">
        <v>2715.9217329236799</v>
      </c>
      <c r="D74" s="4">
        <v>366</v>
      </c>
      <c r="E74">
        <f t="shared" si="0"/>
        <v>453.56893897362397</v>
      </c>
      <c r="F74">
        <f t="shared" si="1"/>
        <v>2349.9217329236799</v>
      </c>
      <c r="N74" s="56">
        <v>7320</v>
      </c>
      <c r="O74" s="53">
        <v>5467.7391431966098</v>
      </c>
      <c r="P74" s="56">
        <v>209</v>
      </c>
      <c r="S74" s="54">
        <v>97</v>
      </c>
      <c r="T74" s="53">
        <v>34.998924903471703</v>
      </c>
      <c r="U74" s="54">
        <v>34.9995116425346</v>
      </c>
      <c r="V74" s="58">
        <v>35</v>
      </c>
      <c r="W74">
        <f t="shared" si="2"/>
        <v>4.8835746540021319E-4</v>
      </c>
      <c r="X74">
        <f t="shared" si="3"/>
        <v>1.0750965282966263E-3</v>
      </c>
      <c r="AG74" s="57">
        <v>382.96807419697399</v>
      </c>
      <c r="AH74" s="53">
        <v>2332.39644555729</v>
      </c>
    </row>
    <row r="75" spans="1:34" ht="15.75" customHeight="1">
      <c r="A75" s="56">
        <v>11900</v>
      </c>
      <c r="B75" s="57">
        <v>1868.7522456706999</v>
      </c>
      <c r="C75" s="53">
        <v>4107.3136736392798</v>
      </c>
      <c r="D75" s="4">
        <v>1181</v>
      </c>
      <c r="E75">
        <f t="shared" si="0"/>
        <v>687.75224567069995</v>
      </c>
      <c r="F75">
        <f t="shared" si="1"/>
        <v>2926.3136736392798</v>
      </c>
      <c r="N75" s="56">
        <v>9125</v>
      </c>
      <c r="O75" s="53">
        <v>6120.6459148552503</v>
      </c>
      <c r="P75" s="56">
        <v>366</v>
      </c>
      <c r="S75" s="54">
        <v>257</v>
      </c>
      <c r="T75" s="53">
        <v>93.000114795762897</v>
      </c>
      <c r="U75" s="54">
        <v>92.992673478323496</v>
      </c>
      <c r="V75" s="58">
        <v>93</v>
      </c>
      <c r="W75">
        <f t="shared" si="2"/>
        <v>7.3265216765037167E-3</v>
      </c>
      <c r="X75">
        <f t="shared" si="3"/>
        <v>1.1479576289730176E-4</v>
      </c>
      <c r="AG75" s="57">
        <v>345.01141106376502</v>
      </c>
      <c r="AH75" s="53">
        <v>1902.8990191723401</v>
      </c>
    </row>
    <row r="76" spans="1:34" ht="15.75" customHeight="1">
      <c r="A76" s="56">
        <v>4300</v>
      </c>
      <c r="B76" s="57">
        <v>313.25407350517401</v>
      </c>
      <c r="C76" s="53">
        <v>1126.5006695453801</v>
      </c>
      <c r="D76" s="4">
        <v>181</v>
      </c>
      <c r="E76">
        <f t="shared" si="0"/>
        <v>132.25407350517401</v>
      </c>
      <c r="F76">
        <f t="shared" si="1"/>
        <v>945.50066954538011</v>
      </c>
      <c r="N76" s="56">
        <v>11900</v>
      </c>
      <c r="O76" s="53">
        <v>9515.8571267693405</v>
      </c>
      <c r="P76" s="56">
        <v>1181</v>
      </c>
      <c r="S76" s="54">
        <v>84</v>
      </c>
      <c r="T76" s="53">
        <v>35.997614024055899</v>
      </c>
      <c r="U76" s="54">
        <v>35.972814002633598</v>
      </c>
      <c r="V76" s="58">
        <v>36</v>
      </c>
      <c r="W76">
        <f t="shared" si="2"/>
        <v>2.7185997366402148E-2</v>
      </c>
      <c r="X76">
        <f t="shared" si="3"/>
        <v>2.3859759441009487E-3</v>
      </c>
      <c r="AG76" s="57">
        <v>822.44413161062403</v>
      </c>
      <c r="AH76" s="53">
        <v>5467.7391431966098</v>
      </c>
    </row>
    <row r="77" spans="1:34" ht="15.75" customHeight="1">
      <c r="A77" s="56">
        <v>4150</v>
      </c>
      <c r="B77" s="57">
        <v>739.24273185385903</v>
      </c>
      <c r="C77" s="53">
        <v>1261.02243210797</v>
      </c>
      <c r="D77" s="4">
        <v>739</v>
      </c>
      <c r="E77">
        <f t="shared" si="0"/>
        <v>0.24273185385902707</v>
      </c>
      <c r="F77">
        <f t="shared" si="1"/>
        <v>522.02243210796996</v>
      </c>
      <c r="N77" s="56">
        <v>4300</v>
      </c>
      <c r="O77" s="53">
        <v>3031.7588755537299</v>
      </c>
      <c r="P77" s="56">
        <v>181</v>
      </c>
      <c r="S77" s="54">
        <v>211</v>
      </c>
      <c r="T77" s="53">
        <v>62.004323339058402</v>
      </c>
      <c r="U77" s="54">
        <v>61.996183007537297</v>
      </c>
      <c r="V77" s="58">
        <v>62</v>
      </c>
      <c r="W77">
        <f t="shared" si="2"/>
        <v>3.8169924627027285E-3</v>
      </c>
      <c r="X77">
        <f t="shared" si="3"/>
        <v>4.3233390584020981E-3</v>
      </c>
      <c r="AG77" s="57">
        <v>1240.84426512043</v>
      </c>
      <c r="AH77" s="53">
        <v>6120.6459148552503</v>
      </c>
    </row>
    <row r="78" spans="1:34" ht="15.75" customHeight="1">
      <c r="A78" s="56">
        <v>900</v>
      </c>
      <c r="B78" s="57">
        <v>109.074953097247</v>
      </c>
      <c r="C78" s="53">
        <v>466.96494743932101</v>
      </c>
      <c r="D78" s="4">
        <v>108</v>
      </c>
      <c r="E78">
        <f t="shared" si="0"/>
        <v>1.0749530972470041</v>
      </c>
      <c r="F78">
        <f t="shared" si="1"/>
        <v>358.96494743932101</v>
      </c>
      <c r="N78" s="56">
        <v>4150</v>
      </c>
      <c r="O78" s="53">
        <v>2925.6967294452302</v>
      </c>
      <c r="P78" s="56">
        <v>739</v>
      </c>
      <c r="S78" s="54">
        <v>131</v>
      </c>
      <c r="T78" s="53">
        <v>44.995390473057903</v>
      </c>
      <c r="U78" s="54">
        <v>44.982336714309099</v>
      </c>
      <c r="V78" s="58">
        <v>45</v>
      </c>
      <c r="W78">
        <f t="shared" si="2"/>
        <v>1.7663285690900921E-2</v>
      </c>
      <c r="X78">
        <f t="shared" si="3"/>
        <v>4.609526942097375E-3</v>
      </c>
      <c r="AG78" s="57">
        <v>1657.7429597543901</v>
      </c>
      <c r="AH78" s="53">
        <v>9515.8571267693405</v>
      </c>
    </row>
    <row r="79" spans="1:34" ht="15.75" customHeight="1">
      <c r="A79" s="56">
        <v>583</v>
      </c>
      <c r="B79" s="57">
        <v>118.195269673406</v>
      </c>
      <c r="C79" s="53">
        <v>296.91679685133897</v>
      </c>
      <c r="D79" s="4">
        <v>48</v>
      </c>
      <c r="E79">
        <f t="shared" si="0"/>
        <v>70.195269673406003</v>
      </c>
      <c r="F79">
        <f t="shared" si="1"/>
        <v>248.91679685133897</v>
      </c>
      <c r="N79" s="56">
        <v>900</v>
      </c>
      <c r="O79" s="53">
        <v>715.392840004243</v>
      </c>
      <c r="P79" s="56">
        <v>108</v>
      </c>
      <c r="S79" s="54">
        <v>112</v>
      </c>
      <c r="T79" s="53">
        <v>36.997521899967701</v>
      </c>
      <c r="U79" s="54">
        <v>37.026372587940699</v>
      </c>
      <c r="V79" s="58">
        <v>37</v>
      </c>
      <c r="W79">
        <f t="shared" si="2"/>
        <v>2.6372587940699077E-2</v>
      </c>
      <c r="X79">
        <f t="shared" si="3"/>
        <v>2.4781000322988689E-3</v>
      </c>
      <c r="AG79" s="57">
        <v>484.33633027399702</v>
      </c>
      <c r="AH79" s="53">
        <v>3031.7588755537299</v>
      </c>
    </row>
    <row r="80" spans="1:34" ht="15.75" customHeight="1">
      <c r="A80" s="56">
        <v>2565</v>
      </c>
      <c r="B80" s="57">
        <v>257.18568764997002</v>
      </c>
      <c r="C80" s="53">
        <v>909.51584706074698</v>
      </c>
      <c r="D80" s="4">
        <v>249</v>
      </c>
      <c r="E80">
        <f t="shared" si="0"/>
        <v>8.1856876499700206</v>
      </c>
      <c r="F80">
        <f t="shared" si="1"/>
        <v>660.51584706074698</v>
      </c>
      <c r="N80" s="56">
        <v>583</v>
      </c>
      <c r="O80" s="53">
        <v>484.63420483839599</v>
      </c>
      <c r="P80" s="56">
        <v>48</v>
      </c>
      <c r="S80" s="54">
        <v>101</v>
      </c>
      <c r="T80" s="53">
        <v>32.001373384709701</v>
      </c>
      <c r="U80" s="54">
        <v>32.003296715180902</v>
      </c>
      <c r="V80" s="58">
        <v>32</v>
      </c>
      <c r="W80">
        <f t="shared" si="2"/>
        <v>3.2967151809017992E-3</v>
      </c>
      <c r="X80">
        <f t="shared" si="3"/>
        <v>1.3733847097014973E-3</v>
      </c>
      <c r="AG80" s="57">
        <v>739.06353081845305</v>
      </c>
      <c r="AH80" s="53">
        <v>2925.6967294452302</v>
      </c>
    </row>
    <row r="81" spans="1:34" ht="15.75" customHeight="1">
      <c r="A81" s="56">
        <v>4047</v>
      </c>
      <c r="B81" s="57">
        <v>466.25030026551599</v>
      </c>
      <c r="C81" s="53">
        <v>1194.8689118472601</v>
      </c>
      <c r="D81" s="4">
        <v>371</v>
      </c>
      <c r="E81">
        <f t="shared" si="0"/>
        <v>95.250300265515989</v>
      </c>
      <c r="F81">
        <f t="shared" si="1"/>
        <v>823.86891184726005</v>
      </c>
      <c r="N81" s="56">
        <v>2565</v>
      </c>
      <c r="O81" s="53">
        <v>1965.2760649622101</v>
      </c>
      <c r="P81" s="56">
        <v>249</v>
      </c>
      <c r="S81" s="54">
        <v>74</v>
      </c>
      <c r="T81" s="53">
        <v>29.998193975006799</v>
      </c>
      <c r="U81" s="54">
        <v>30.007856773382901</v>
      </c>
      <c r="V81" s="58">
        <v>30</v>
      </c>
      <c r="W81">
        <f t="shared" si="2"/>
        <v>7.8567733829011388E-3</v>
      </c>
      <c r="X81">
        <f t="shared" si="3"/>
        <v>1.8060249932005945E-3</v>
      </c>
      <c r="AG81" s="57">
        <v>107.968719315844</v>
      </c>
      <c r="AH81" s="53">
        <v>715.392840004243</v>
      </c>
    </row>
    <row r="82" spans="1:34" ht="15.75" customHeight="1">
      <c r="A82" s="56">
        <v>1520</v>
      </c>
      <c r="B82" s="57">
        <v>269.94646618380699</v>
      </c>
      <c r="C82" s="53">
        <v>488.70564134972801</v>
      </c>
      <c r="D82" s="4">
        <v>211</v>
      </c>
      <c r="E82">
        <f t="shared" si="0"/>
        <v>58.94646618380699</v>
      </c>
      <c r="F82">
        <f t="shared" si="1"/>
        <v>277.70564134972801</v>
      </c>
      <c r="N82" s="56">
        <v>4047</v>
      </c>
      <c r="O82" s="53">
        <v>2944.7827412885499</v>
      </c>
      <c r="P82" s="56">
        <v>371</v>
      </c>
      <c r="S82" s="54">
        <v>62</v>
      </c>
      <c r="T82" s="53">
        <v>20.999647705184302</v>
      </c>
      <c r="U82" s="54">
        <v>20.991726679146598</v>
      </c>
      <c r="V82" s="58">
        <v>21</v>
      </c>
      <c r="W82">
        <f t="shared" si="2"/>
        <v>8.2733208534016001E-3</v>
      </c>
      <c r="X82">
        <f t="shared" si="3"/>
        <v>3.5229481569842847E-4</v>
      </c>
      <c r="AG82" s="57">
        <v>128.79901527011299</v>
      </c>
      <c r="AH82" s="53">
        <v>484.63420483839599</v>
      </c>
    </row>
    <row r="83" spans="1:34" ht="15.75" customHeight="1">
      <c r="A83" s="56">
        <v>25910</v>
      </c>
      <c r="B83" s="57">
        <v>1850.07214585263</v>
      </c>
      <c r="C83" s="53">
        <v>9356.4051622743391</v>
      </c>
      <c r="D83" s="4">
        <v>1849</v>
      </c>
      <c r="E83">
        <f t="shared" si="0"/>
        <v>1.0721458526300012</v>
      </c>
      <c r="F83">
        <f t="shared" si="1"/>
        <v>7507.4051622743391</v>
      </c>
      <c r="N83" s="56">
        <v>1520</v>
      </c>
      <c r="O83" s="53">
        <v>1217.0568164624499</v>
      </c>
      <c r="P83" s="56">
        <v>211</v>
      </c>
      <c r="S83" s="54">
        <v>289</v>
      </c>
      <c r="T83" s="53">
        <v>112.00142943287899</v>
      </c>
      <c r="U83" s="54">
        <v>111.983790915757</v>
      </c>
      <c r="V83" s="58">
        <v>112</v>
      </c>
      <c r="W83">
        <f t="shared" si="2"/>
        <v>1.6209084243001826E-2</v>
      </c>
      <c r="X83">
        <f t="shared" si="3"/>
        <v>1.4294328789929978E-3</v>
      </c>
      <c r="AG83" s="57">
        <v>358.813659671756</v>
      </c>
      <c r="AH83" s="53">
        <v>1965.2760649622101</v>
      </c>
    </row>
    <row r="84" spans="1:34" ht="15.75" customHeight="1">
      <c r="A84" s="56">
        <v>37286</v>
      </c>
      <c r="B84" s="57">
        <v>2480.93359893446</v>
      </c>
      <c r="C84" s="53">
        <v>7358.4721503666897</v>
      </c>
      <c r="D84" s="4">
        <v>2482</v>
      </c>
      <c r="E84">
        <f t="shared" si="0"/>
        <v>-1.0664010655400489</v>
      </c>
      <c r="F84">
        <f t="shared" si="1"/>
        <v>4876.4721503666897</v>
      </c>
      <c r="N84" s="56">
        <v>25910</v>
      </c>
      <c r="O84" s="53">
        <v>13978.095073712</v>
      </c>
      <c r="P84" s="56">
        <v>1849</v>
      </c>
      <c r="S84" s="54">
        <v>113</v>
      </c>
      <c r="T84" s="53">
        <v>38.999481549977297</v>
      </c>
      <c r="U84" s="54">
        <v>39.016398198156097</v>
      </c>
      <c r="V84" s="58">
        <v>39</v>
      </c>
      <c r="W84">
        <f t="shared" si="2"/>
        <v>1.6398198156096555E-2</v>
      </c>
      <c r="X84">
        <f t="shared" si="3"/>
        <v>5.1845002270312079E-4</v>
      </c>
      <c r="AG84" s="57">
        <v>370.99285910676502</v>
      </c>
      <c r="AH84" s="53">
        <v>2944.7827412885499</v>
      </c>
    </row>
    <row r="85" spans="1:34" ht="15.75" customHeight="1">
      <c r="A85" s="56">
        <v>15052</v>
      </c>
      <c r="B85" s="57">
        <v>897.03526997049198</v>
      </c>
      <c r="C85" s="53">
        <v>3878.1885646714099</v>
      </c>
      <c r="D85" s="4">
        <v>434</v>
      </c>
      <c r="E85">
        <f t="shared" si="0"/>
        <v>463.03526997049198</v>
      </c>
      <c r="F85">
        <f t="shared" si="1"/>
        <v>3444.1885646714099</v>
      </c>
      <c r="N85" s="56">
        <v>37286</v>
      </c>
      <c r="O85" s="53">
        <v>26695.705848581099</v>
      </c>
      <c r="P85" s="56">
        <v>2482</v>
      </c>
      <c r="S85" s="54">
        <v>141</v>
      </c>
      <c r="T85" s="53">
        <v>52.004122102363702</v>
      </c>
      <c r="U85" s="54">
        <v>52.025175745417897</v>
      </c>
      <c r="V85" s="58">
        <v>52</v>
      </c>
      <c r="W85">
        <f t="shared" si="2"/>
        <v>2.5175745417897133E-2</v>
      </c>
      <c r="X85">
        <f t="shared" si="3"/>
        <v>4.1221023637021403E-3</v>
      </c>
      <c r="AG85" s="57">
        <v>210.98085814626</v>
      </c>
      <c r="AH85" s="53">
        <v>1217.0568164624499</v>
      </c>
    </row>
    <row r="86" spans="1:34" ht="15.75" customHeight="1">
      <c r="A86" s="56">
        <v>11039</v>
      </c>
      <c r="B86" s="57">
        <v>1387.10410880269</v>
      </c>
      <c r="C86" s="53">
        <v>2184.3838744955901</v>
      </c>
      <c r="D86" s="4">
        <v>292</v>
      </c>
      <c r="E86">
        <f t="shared" si="0"/>
        <v>1095.10410880269</v>
      </c>
      <c r="F86">
        <f t="shared" si="1"/>
        <v>1892.3838744955901</v>
      </c>
      <c r="N86" s="56">
        <v>15052</v>
      </c>
      <c r="O86" s="53">
        <v>10648.6976937279</v>
      </c>
      <c r="P86" s="56">
        <v>434</v>
      </c>
      <c r="S86" s="54">
        <v>213</v>
      </c>
      <c r="T86" s="53">
        <v>79.993137870771307</v>
      </c>
      <c r="U86" s="54">
        <v>79.978432470762698</v>
      </c>
      <c r="V86" s="58">
        <v>80</v>
      </c>
      <c r="W86">
        <f t="shared" si="2"/>
        <v>2.1567529237302097E-2</v>
      </c>
      <c r="X86">
        <f t="shared" si="3"/>
        <v>6.8621292286934477E-3</v>
      </c>
      <c r="AG86" s="57">
        <v>1849.4407605172801</v>
      </c>
      <c r="AH86" s="53">
        <v>13978.095073712</v>
      </c>
    </row>
    <row r="87" spans="1:34" ht="15.75" customHeight="1">
      <c r="A87" s="56">
        <v>18500</v>
      </c>
      <c r="B87" s="57">
        <v>2954.4857140556501</v>
      </c>
      <c r="C87" s="53">
        <v>4980.3818874873396</v>
      </c>
      <c r="D87" s="4">
        <v>2954</v>
      </c>
      <c r="E87">
        <f t="shared" si="0"/>
        <v>0.48571405565007808</v>
      </c>
      <c r="F87">
        <f t="shared" si="1"/>
        <v>2026.3818874873396</v>
      </c>
      <c r="N87" s="56">
        <v>11039</v>
      </c>
      <c r="O87" s="53">
        <v>7407.5795477472602</v>
      </c>
      <c r="P87" s="56">
        <v>292</v>
      </c>
      <c r="S87" s="54">
        <v>137</v>
      </c>
      <c r="T87" s="53">
        <v>55.998801474437499</v>
      </c>
      <c r="U87" s="54">
        <v>56.016475463658097</v>
      </c>
      <c r="V87" s="58">
        <v>56</v>
      </c>
      <c r="W87">
        <f t="shared" si="2"/>
        <v>1.6475463658096601E-2</v>
      </c>
      <c r="X87">
        <f t="shared" si="3"/>
        <v>1.198525562500663E-3</v>
      </c>
      <c r="AG87" s="57">
        <v>2474.8211804696298</v>
      </c>
      <c r="AH87" s="53">
        <v>26695.705848581099</v>
      </c>
    </row>
    <row r="88" spans="1:34" ht="15.75" customHeight="1">
      <c r="A88" s="56">
        <v>9369</v>
      </c>
      <c r="B88" s="57">
        <v>434.47491910181901</v>
      </c>
      <c r="C88" s="53">
        <v>2319.1301826562699</v>
      </c>
      <c r="D88" s="4">
        <v>304</v>
      </c>
      <c r="E88">
        <f t="shared" si="0"/>
        <v>130.47491910181901</v>
      </c>
      <c r="F88">
        <f t="shared" si="1"/>
        <v>2015.1301826562699</v>
      </c>
      <c r="N88" s="56">
        <v>18500</v>
      </c>
      <c r="O88" s="53">
        <v>10324.139939422699</v>
      </c>
      <c r="P88" s="56">
        <v>2954</v>
      </c>
      <c r="S88" s="54">
        <v>91</v>
      </c>
      <c r="T88" s="53">
        <v>35.000221682032702</v>
      </c>
      <c r="U88" s="54">
        <v>35.016732581727403</v>
      </c>
      <c r="V88" s="58">
        <v>35</v>
      </c>
      <c r="W88">
        <f t="shared" si="2"/>
        <v>1.6732581727403328E-2</v>
      </c>
      <c r="X88">
        <f t="shared" si="3"/>
        <v>2.2168203270211961E-4</v>
      </c>
      <c r="AG88" s="57">
        <v>961.87813985939295</v>
      </c>
      <c r="AH88" s="53">
        <v>10648.6976937279</v>
      </c>
    </row>
    <row r="89" spans="1:34" ht="15.75" customHeight="1">
      <c r="A89" s="56">
        <v>7184</v>
      </c>
      <c r="B89" s="57">
        <v>659.45113270243996</v>
      </c>
      <c r="C89" s="53">
        <v>2774.8068108990601</v>
      </c>
      <c r="D89" s="4">
        <v>353</v>
      </c>
      <c r="E89">
        <f t="shared" si="0"/>
        <v>306.45113270243996</v>
      </c>
      <c r="F89">
        <f t="shared" si="1"/>
        <v>2421.8068108990601</v>
      </c>
      <c r="N89" s="56">
        <v>9369</v>
      </c>
      <c r="O89" s="53">
        <v>6682.4663981507501</v>
      </c>
      <c r="P89" s="56">
        <v>304</v>
      </c>
      <c r="V89" t="s">
        <v>81</v>
      </c>
      <c r="W89">
        <f>AVERAGE(W68:W88)</f>
        <v>3.9682414412182201</v>
      </c>
      <c r="X89">
        <f>AVERAGE(X68:X88)</f>
        <v>3.556814112707285</v>
      </c>
      <c r="AG89" s="57">
        <v>671.12807560956901</v>
      </c>
      <c r="AH89" s="53">
        <v>7407.5795477472602</v>
      </c>
    </row>
    <row r="90" spans="1:34" ht="15.75" customHeight="1">
      <c r="A90" s="56">
        <v>10447</v>
      </c>
      <c r="B90" s="57">
        <v>805.77379675360703</v>
      </c>
      <c r="C90" s="53">
        <v>3773.7758734435401</v>
      </c>
      <c r="D90" s="4">
        <v>567</v>
      </c>
      <c r="E90">
        <f t="shared" si="0"/>
        <v>238.77379675360703</v>
      </c>
      <c r="F90">
        <f t="shared" si="1"/>
        <v>3206.7758734435401</v>
      </c>
      <c r="N90" s="56">
        <v>7184</v>
      </c>
      <c r="O90" s="53">
        <v>4894.2174575679301</v>
      </c>
      <c r="P90" s="56">
        <v>353</v>
      </c>
      <c r="AG90" s="57">
        <v>2953.2825885594202</v>
      </c>
      <c r="AH90" s="53">
        <v>10324.139939422699</v>
      </c>
    </row>
    <row r="91" spans="1:34" ht="15.75" customHeight="1">
      <c r="A91" s="56">
        <v>5100</v>
      </c>
      <c r="B91" s="57">
        <v>467.08910178680901</v>
      </c>
      <c r="C91" s="53">
        <v>2425.3049467343699</v>
      </c>
      <c r="D91" s="4">
        <v>467</v>
      </c>
      <c r="E91">
        <f t="shared" si="0"/>
        <v>8.9101786809010264E-2</v>
      </c>
      <c r="F91">
        <f t="shared" si="1"/>
        <v>1958.3049467343699</v>
      </c>
      <c r="N91" s="56">
        <v>10447</v>
      </c>
      <c r="O91" s="53">
        <v>5344.0379796895904</v>
      </c>
      <c r="P91" s="56">
        <v>567</v>
      </c>
      <c r="S91" t="s">
        <v>80</v>
      </c>
      <c r="V91" t="s">
        <v>81</v>
      </c>
      <c r="AG91" s="57">
        <v>501.38280502905201</v>
      </c>
      <c r="AH91" s="53">
        <v>6682.4663981507501</v>
      </c>
    </row>
    <row r="92" spans="1:34" ht="15.75" customHeight="1">
      <c r="A92" s="56">
        <v>63694</v>
      </c>
      <c r="B92" s="57">
        <v>3368.2451222947898</v>
      </c>
      <c r="C92" s="53">
        <v>9366.8048544579306</v>
      </c>
      <c r="D92" s="4">
        <v>3368</v>
      </c>
      <c r="E92">
        <f t="shared" si="0"/>
        <v>0.24512229478978043</v>
      </c>
      <c r="F92">
        <f t="shared" si="1"/>
        <v>5998.8048544579306</v>
      </c>
      <c r="N92" s="56">
        <v>5100</v>
      </c>
      <c r="O92" s="53">
        <v>3605.6923050682099</v>
      </c>
      <c r="P92" s="56">
        <v>467</v>
      </c>
      <c r="S92" s="53">
        <v>156</v>
      </c>
      <c r="T92" s="53">
        <v>58.003500520341802</v>
      </c>
      <c r="U92" s="58">
        <v>63</v>
      </c>
      <c r="V92">
        <v>6.1837858117413003</v>
      </c>
      <c r="AG92" s="57">
        <v>915.59721382423004</v>
      </c>
      <c r="AH92" s="53">
        <v>4894.2174575679301</v>
      </c>
    </row>
    <row r="93" spans="1:34" ht="15.75" customHeight="1">
      <c r="A93" s="56">
        <v>1651</v>
      </c>
      <c r="B93" s="57">
        <v>253.044700540321</v>
      </c>
      <c r="C93" s="53">
        <v>465.073271114904</v>
      </c>
      <c r="D93" s="4">
        <v>253</v>
      </c>
      <c r="E93">
        <f t="shared" si="0"/>
        <v>4.4700540321002791E-2</v>
      </c>
      <c r="F93">
        <f t="shared" si="1"/>
        <v>212.073271114904</v>
      </c>
      <c r="N93" s="56">
        <v>63694</v>
      </c>
      <c r="O93" s="53">
        <v>28805.0941872484</v>
      </c>
      <c r="P93" s="56">
        <v>3368</v>
      </c>
      <c r="S93" s="54">
        <v>202</v>
      </c>
      <c r="T93" s="53">
        <v>80.9798915223043</v>
      </c>
      <c r="U93" s="58">
        <v>92</v>
      </c>
      <c r="V93" s="59">
        <v>6.1837858117413003</v>
      </c>
      <c r="AG93" s="57">
        <v>873.70653611749003</v>
      </c>
      <c r="AH93" s="53">
        <v>5344.0379796895904</v>
      </c>
    </row>
    <row r="94" spans="1:34" ht="15.75" customHeight="1">
      <c r="A94" s="56">
        <v>1450</v>
      </c>
      <c r="B94" s="57">
        <v>195.98860461554901</v>
      </c>
      <c r="C94" s="53">
        <v>561.10806913170495</v>
      </c>
      <c r="D94" s="4">
        <v>196</v>
      </c>
      <c r="E94">
        <f t="shared" si="0"/>
        <v>-1.1395384450992196E-2</v>
      </c>
      <c r="F94">
        <f t="shared" si="1"/>
        <v>365.10806913170495</v>
      </c>
      <c r="N94" s="56">
        <v>1651</v>
      </c>
      <c r="O94" s="53">
        <v>1147.3572889382101</v>
      </c>
      <c r="P94" s="56">
        <v>253</v>
      </c>
      <c r="S94" s="54">
        <v>173</v>
      </c>
      <c r="T94" s="54">
        <v>51.941290623829602</v>
      </c>
      <c r="U94" s="58">
        <v>56</v>
      </c>
      <c r="AG94" s="57">
        <v>463.389085395677</v>
      </c>
      <c r="AH94" s="53">
        <v>3605.6923050682099</v>
      </c>
    </row>
    <row r="95" spans="1:34" ht="15.75" customHeight="1">
      <c r="A95" s="56">
        <v>1745</v>
      </c>
      <c r="B95" s="57">
        <v>209.58416195379201</v>
      </c>
      <c r="C95" s="53">
        <v>888.19696897567201</v>
      </c>
      <c r="D95" s="4">
        <v>185</v>
      </c>
      <c r="E95">
        <f t="shared" si="0"/>
        <v>24.584161953792005</v>
      </c>
      <c r="F95">
        <f t="shared" si="1"/>
        <v>703.19696897567201</v>
      </c>
      <c r="N95" s="56">
        <v>1450</v>
      </c>
      <c r="O95" s="53">
        <v>1096.9311731329999</v>
      </c>
      <c r="P95" s="56">
        <v>196</v>
      </c>
      <c r="S95" s="54">
        <v>331</v>
      </c>
      <c r="T95" s="54">
        <v>45.845348621571702</v>
      </c>
      <c r="U95" s="58">
        <v>86</v>
      </c>
      <c r="AG95" s="57">
        <v>3920.4468038507898</v>
      </c>
      <c r="AH95" s="53">
        <v>28805.0941872484</v>
      </c>
    </row>
    <row r="96" spans="1:34" ht="15.75" customHeight="1">
      <c r="A96" s="56">
        <v>1798</v>
      </c>
      <c r="B96" s="57">
        <v>387.01999667878101</v>
      </c>
      <c r="C96" s="53">
        <v>748.70937218909705</v>
      </c>
      <c r="D96" s="4">
        <v>387</v>
      </c>
      <c r="E96">
        <f t="shared" si="0"/>
        <v>1.9996678781012633E-2</v>
      </c>
      <c r="F96">
        <f t="shared" si="1"/>
        <v>361.70937218909705</v>
      </c>
      <c r="N96" s="56">
        <v>1745</v>
      </c>
      <c r="O96" s="53">
        <v>1293.34049104054</v>
      </c>
      <c r="P96" s="56">
        <v>185</v>
      </c>
      <c r="S96" s="54">
        <v>124</v>
      </c>
      <c r="T96" s="54">
        <v>34.607928930767599</v>
      </c>
      <c r="U96" s="58">
        <v>32</v>
      </c>
      <c r="AG96" s="57">
        <v>253.01381877211799</v>
      </c>
      <c r="AH96" s="53">
        <v>1147.3572889382101</v>
      </c>
    </row>
    <row r="97" spans="1:34" ht="15.75" customHeight="1">
      <c r="A97" s="56">
        <v>2957</v>
      </c>
      <c r="B97" s="57">
        <v>429.91831436374298</v>
      </c>
      <c r="C97" s="53">
        <v>956.71788402340997</v>
      </c>
      <c r="D97" s="4">
        <v>430</v>
      </c>
      <c r="E97">
        <f t="shared" si="0"/>
        <v>-8.1685636257020633E-2</v>
      </c>
      <c r="F97">
        <f t="shared" si="1"/>
        <v>526.71788402340997</v>
      </c>
      <c r="N97" s="56">
        <v>1798</v>
      </c>
      <c r="O97" s="53">
        <v>1192.1542615138201</v>
      </c>
      <c r="P97" s="56">
        <v>387</v>
      </c>
      <c r="S97" s="54">
        <v>339</v>
      </c>
      <c r="T97" s="54">
        <v>106.526719617035</v>
      </c>
      <c r="U97" s="58">
        <v>91</v>
      </c>
      <c r="AG97" s="57">
        <v>195.59378088541499</v>
      </c>
      <c r="AH97" s="53">
        <v>1096.9311731329999</v>
      </c>
    </row>
    <row r="98" spans="1:34" ht="15.75" customHeight="1">
      <c r="A98" s="56">
        <v>963</v>
      </c>
      <c r="B98" s="57">
        <v>204.033342039882</v>
      </c>
      <c r="C98" s="53">
        <v>320.88529690637699</v>
      </c>
      <c r="D98" s="4">
        <v>204</v>
      </c>
      <c r="E98">
        <f t="shared" si="0"/>
        <v>3.3342039882001018E-2</v>
      </c>
      <c r="F98">
        <f t="shared" si="1"/>
        <v>116.88529690637699</v>
      </c>
      <c r="N98" s="56">
        <v>2957</v>
      </c>
      <c r="O98" s="53">
        <v>2221.8504106290502</v>
      </c>
      <c r="P98" s="56">
        <v>430</v>
      </c>
      <c r="S98" s="54">
        <v>97</v>
      </c>
      <c r="T98" s="54">
        <v>28.882163026414201</v>
      </c>
      <c r="U98" s="58">
        <v>35</v>
      </c>
      <c r="AG98" s="57">
        <v>248.241326901093</v>
      </c>
      <c r="AH98" s="53">
        <v>1293.34049104054</v>
      </c>
    </row>
    <row r="99" spans="1:34" ht="15.75" customHeight="1">
      <c r="A99" s="56">
        <v>1233</v>
      </c>
      <c r="B99" s="57">
        <v>115.870477322867</v>
      </c>
      <c r="C99" s="53">
        <v>262.98073064810899</v>
      </c>
      <c r="D99" s="4">
        <v>71</v>
      </c>
      <c r="E99">
        <f t="shared" si="0"/>
        <v>44.870477322867004</v>
      </c>
      <c r="F99">
        <f t="shared" si="1"/>
        <v>191.98073064810899</v>
      </c>
      <c r="N99" s="56">
        <v>963</v>
      </c>
      <c r="O99" s="53">
        <v>768.975522366375</v>
      </c>
      <c r="P99" s="56">
        <v>204</v>
      </c>
      <c r="S99" s="54">
        <v>257</v>
      </c>
      <c r="T99" s="54">
        <v>84.708559906502899</v>
      </c>
      <c r="U99" s="58">
        <v>93</v>
      </c>
      <c r="AG99" s="57">
        <v>386.98809125809299</v>
      </c>
      <c r="AH99" s="53">
        <v>1192.1542615138201</v>
      </c>
    </row>
    <row r="100" spans="1:34" ht="15.75" customHeight="1">
      <c r="A100" s="56">
        <v>3240</v>
      </c>
      <c r="B100" s="57">
        <v>840.40358626344801</v>
      </c>
      <c r="C100" s="53">
        <v>839.945024819732</v>
      </c>
      <c r="D100" s="4">
        <v>840</v>
      </c>
      <c r="E100">
        <f t="shared" si="0"/>
        <v>0.40358626344800541</v>
      </c>
      <c r="F100">
        <f t="shared" si="1"/>
        <v>-5.4975180268002077E-2</v>
      </c>
      <c r="N100" s="56">
        <v>1233</v>
      </c>
      <c r="O100" s="53">
        <v>892.29022721912202</v>
      </c>
      <c r="P100" s="56">
        <v>71</v>
      </c>
      <c r="S100" s="54">
        <v>84</v>
      </c>
      <c r="T100" s="54">
        <v>35.001295770364401</v>
      </c>
      <c r="U100" s="58">
        <v>36</v>
      </c>
      <c r="AG100" s="57">
        <v>424.82698895688299</v>
      </c>
      <c r="AH100" s="53">
        <v>2221.8504106290502</v>
      </c>
    </row>
    <row r="101" spans="1:34" ht="15.75" customHeight="1">
      <c r="A101" s="56">
        <v>10000</v>
      </c>
      <c r="B101" s="57">
        <v>1647.9711532652</v>
      </c>
      <c r="C101" s="53">
        <v>1905.39168668411</v>
      </c>
      <c r="D101" s="4">
        <v>1648</v>
      </c>
      <c r="E101">
        <f t="shared" si="0"/>
        <v>-2.8846734800026752E-2</v>
      </c>
      <c r="F101">
        <f t="shared" si="1"/>
        <v>257.39168668411003</v>
      </c>
      <c r="N101" s="56">
        <v>3240</v>
      </c>
      <c r="O101" s="53">
        <v>2365.05697477995</v>
      </c>
      <c r="P101" s="56">
        <v>840</v>
      </c>
      <c r="S101" s="54">
        <v>211</v>
      </c>
      <c r="T101" s="54">
        <v>66.027800032964905</v>
      </c>
      <c r="U101" s="58">
        <v>62</v>
      </c>
      <c r="AG101" s="57">
        <v>204.02229121563499</v>
      </c>
      <c r="AH101" s="53">
        <v>768.975522366375</v>
      </c>
    </row>
    <row r="102" spans="1:34" ht="15.75" customHeight="1">
      <c r="A102" s="56">
        <v>6800</v>
      </c>
      <c r="B102" s="57">
        <v>1035.0376521225201</v>
      </c>
      <c r="C102" s="53">
        <v>1703.61252483668</v>
      </c>
      <c r="D102" s="4">
        <v>1035</v>
      </c>
      <c r="E102">
        <f t="shared" si="0"/>
        <v>3.7652122520057674E-2</v>
      </c>
      <c r="F102">
        <f t="shared" si="1"/>
        <v>668.61252483668</v>
      </c>
      <c r="N102" s="56">
        <v>10000</v>
      </c>
      <c r="O102" s="53">
        <v>6083.0309999275096</v>
      </c>
      <c r="P102" s="56">
        <v>1648</v>
      </c>
      <c r="S102" s="54">
        <v>131</v>
      </c>
      <c r="T102" s="54">
        <v>40.992012172124397</v>
      </c>
      <c r="U102" s="58">
        <v>45</v>
      </c>
      <c r="AG102" s="57">
        <v>177.25361676461301</v>
      </c>
      <c r="AH102" s="53">
        <v>892.29022721912202</v>
      </c>
    </row>
    <row r="103" spans="1:34" ht="15.75" customHeight="1">
      <c r="A103" s="56">
        <v>3850</v>
      </c>
      <c r="B103" s="57">
        <v>547.53958268709096</v>
      </c>
      <c r="C103" s="53">
        <v>1255.39795667151</v>
      </c>
      <c r="D103" s="4">
        <v>548</v>
      </c>
      <c r="E103">
        <f t="shared" si="0"/>
        <v>-0.46041731290904409</v>
      </c>
      <c r="F103">
        <f t="shared" si="1"/>
        <v>707.39795667150997</v>
      </c>
      <c r="N103" s="56">
        <v>6800</v>
      </c>
      <c r="O103" s="53">
        <v>4993.4763258285502</v>
      </c>
      <c r="P103" s="56">
        <v>1035</v>
      </c>
      <c r="S103" s="54">
        <v>112</v>
      </c>
      <c r="T103" s="54">
        <v>38.966681576055997</v>
      </c>
      <c r="U103" s="58">
        <v>37</v>
      </c>
      <c r="AG103" s="57">
        <v>839.95122846223899</v>
      </c>
      <c r="AH103" s="53">
        <v>2365.05697477995</v>
      </c>
    </row>
    <row r="104" spans="1:34" ht="15.75" customHeight="1">
      <c r="A104" s="56">
        <v>14000</v>
      </c>
      <c r="B104" s="57">
        <v>3965.3944893327898</v>
      </c>
      <c r="C104" s="53">
        <v>6616.0757853729701</v>
      </c>
      <c r="D104" s="4">
        <v>2054</v>
      </c>
      <c r="E104">
        <f t="shared" si="0"/>
        <v>1911.3944893327898</v>
      </c>
      <c r="F104">
        <f t="shared" si="1"/>
        <v>4562.0757853729701</v>
      </c>
      <c r="N104" s="56">
        <v>3850</v>
      </c>
      <c r="O104" s="53">
        <v>3036.06465859739</v>
      </c>
      <c r="P104" s="56">
        <v>548</v>
      </c>
      <c r="S104" s="54">
        <v>101</v>
      </c>
      <c r="T104" s="54">
        <v>35.006443732629897</v>
      </c>
      <c r="U104" s="58">
        <v>32</v>
      </c>
      <c r="AG104" s="57">
        <v>1647.8371037526699</v>
      </c>
      <c r="AH104" s="53">
        <v>6083.0309999275096</v>
      </c>
    </row>
    <row r="105" spans="1:34" ht="15.75" customHeight="1">
      <c r="A105" s="56">
        <v>5787</v>
      </c>
      <c r="B105" s="57">
        <v>1614.1805008732599</v>
      </c>
      <c r="C105" s="53">
        <v>3436.9462560867501</v>
      </c>
      <c r="D105" s="4">
        <v>302</v>
      </c>
      <c r="E105">
        <f t="shared" si="0"/>
        <v>1312.1805008732599</v>
      </c>
      <c r="F105">
        <f t="shared" si="1"/>
        <v>3134.9462560867501</v>
      </c>
      <c r="N105" s="56">
        <v>14000</v>
      </c>
      <c r="O105" s="53">
        <v>11421.7556056711</v>
      </c>
      <c r="P105" s="56">
        <v>2054</v>
      </c>
      <c r="S105" s="54">
        <v>74</v>
      </c>
      <c r="T105" s="54">
        <v>25.985935758429001</v>
      </c>
      <c r="U105" s="58">
        <v>30</v>
      </c>
      <c r="AG105" s="57">
        <v>1035.1479858344101</v>
      </c>
      <c r="AH105" s="53">
        <v>4993.4763258285502</v>
      </c>
    </row>
    <row r="106" spans="1:34" ht="15.75" customHeight="1">
      <c r="A106" s="56">
        <v>9700</v>
      </c>
      <c r="B106" s="57">
        <v>2764.9769737216602</v>
      </c>
      <c r="C106" s="53">
        <v>5520.1951445477398</v>
      </c>
      <c r="D106" s="4">
        <v>1172</v>
      </c>
      <c r="E106">
        <f t="shared" si="0"/>
        <v>1592.9769737216602</v>
      </c>
      <c r="F106">
        <f t="shared" si="1"/>
        <v>4348.1951445477398</v>
      </c>
      <c r="N106" s="56">
        <v>5787</v>
      </c>
      <c r="O106" s="53">
        <v>4993.6206870555498</v>
      </c>
      <c r="P106" s="56">
        <v>302</v>
      </c>
      <c r="S106" s="54">
        <v>62</v>
      </c>
      <c r="T106" s="54">
        <v>21.9947060673165</v>
      </c>
      <c r="U106" s="58">
        <v>21</v>
      </c>
      <c r="AG106" s="57">
        <v>547.85204125517305</v>
      </c>
      <c r="AH106" s="53">
        <v>3036.06465859739</v>
      </c>
    </row>
    <row r="107" spans="1:34" ht="15.75" customHeight="1">
      <c r="A107" s="56">
        <v>1100</v>
      </c>
      <c r="B107" s="57">
        <v>523.86662637946199</v>
      </c>
      <c r="C107" s="53">
        <v>786.58852059963203</v>
      </c>
      <c r="D107" s="4">
        <v>253</v>
      </c>
      <c r="E107">
        <f t="shared" si="0"/>
        <v>270.86662637946199</v>
      </c>
      <c r="F107">
        <f t="shared" si="1"/>
        <v>533.58852059963203</v>
      </c>
      <c r="N107" s="56">
        <v>9700</v>
      </c>
      <c r="O107" s="53">
        <v>7977.10509760269</v>
      </c>
      <c r="P107" s="56">
        <v>1172</v>
      </c>
      <c r="S107" s="54">
        <v>289</v>
      </c>
      <c r="T107" s="54">
        <v>102.98077927547099</v>
      </c>
      <c r="U107" s="58">
        <v>112</v>
      </c>
      <c r="AG107" s="57">
        <v>2734.3646486534399</v>
      </c>
      <c r="AH107" s="53">
        <v>11421.7556056711</v>
      </c>
    </row>
    <row r="108" spans="1:34" ht="15.75" customHeight="1">
      <c r="A108" s="56">
        <v>5578</v>
      </c>
      <c r="B108" s="57">
        <v>2065.2996757667202</v>
      </c>
      <c r="C108" s="53">
        <v>3410.4759872552399</v>
      </c>
      <c r="D108" s="4">
        <v>227</v>
      </c>
      <c r="E108">
        <f t="shared" si="0"/>
        <v>1838.2996757667202</v>
      </c>
      <c r="F108">
        <f t="shared" si="1"/>
        <v>3183.4759872552399</v>
      </c>
      <c r="N108" s="56">
        <v>1100</v>
      </c>
      <c r="O108" s="53">
        <v>992.598884330185</v>
      </c>
      <c r="P108" s="56">
        <v>253</v>
      </c>
      <c r="S108" s="54">
        <v>113</v>
      </c>
      <c r="T108" s="54">
        <v>40.012912119046597</v>
      </c>
      <c r="U108" s="58">
        <v>39</v>
      </c>
      <c r="AG108" s="57">
        <v>1459.5712961461099</v>
      </c>
      <c r="AH108" s="53">
        <v>4993.6206870555498</v>
      </c>
    </row>
    <row r="109" spans="1:34" ht="15.75" customHeight="1">
      <c r="A109" s="56">
        <v>1060</v>
      </c>
      <c r="B109" s="57">
        <v>503.25958921037801</v>
      </c>
      <c r="C109" s="53">
        <v>639.36575453805494</v>
      </c>
      <c r="D109" s="4">
        <v>59</v>
      </c>
      <c r="E109">
        <f t="shared" si="0"/>
        <v>444.25958921037801</v>
      </c>
      <c r="F109">
        <f t="shared" si="1"/>
        <v>580.36575453805494</v>
      </c>
      <c r="N109" s="56">
        <v>5578</v>
      </c>
      <c r="O109" s="53">
        <v>4870.9806584171201</v>
      </c>
      <c r="P109" s="56">
        <v>227</v>
      </c>
      <c r="S109" s="54">
        <v>141</v>
      </c>
      <c r="T109" s="54">
        <v>49.984875983813602</v>
      </c>
      <c r="U109" s="58">
        <v>52</v>
      </c>
      <c r="AG109" s="57">
        <v>2546.1288259429998</v>
      </c>
      <c r="AH109" s="53">
        <v>7977.10509760269</v>
      </c>
    </row>
    <row r="110" spans="1:34" ht="15.75" customHeight="1">
      <c r="A110" s="56">
        <v>5279</v>
      </c>
      <c r="B110" s="57">
        <v>2568.23141299796</v>
      </c>
      <c r="C110" s="53">
        <v>3728.1790383074599</v>
      </c>
      <c r="D110" s="4">
        <v>299</v>
      </c>
      <c r="E110">
        <f t="shared" si="0"/>
        <v>2269.23141299796</v>
      </c>
      <c r="F110">
        <f t="shared" si="1"/>
        <v>3429.1790383074599</v>
      </c>
      <c r="N110" s="56">
        <v>1060</v>
      </c>
      <c r="O110" s="53">
        <v>951.38832385048102</v>
      </c>
      <c r="P110" s="56">
        <v>59</v>
      </c>
      <c r="S110" s="54">
        <v>213</v>
      </c>
      <c r="T110" s="54">
        <v>76.024353246942098</v>
      </c>
      <c r="U110" s="58">
        <v>80</v>
      </c>
      <c r="AG110" s="57">
        <v>434.20323157454698</v>
      </c>
      <c r="AH110" s="53">
        <v>992.598884330185</v>
      </c>
    </row>
    <row r="111" spans="1:34" ht="15.75" customHeight="1">
      <c r="A111" s="56">
        <v>8117</v>
      </c>
      <c r="B111" s="57">
        <v>2822.4109115646802</v>
      </c>
      <c r="C111" s="53">
        <v>5471.14331873026</v>
      </c>
      <c r="D111" s="4">
        <v>422</v>
      </c>
      <c r="E111">
        <f t="shared" si="0"/>
        <v>2400.4109115646802</v>
      </c>
      <c r="F111">
        <f t="shared" si="1"/>
        <v>5049.14331873026</v>
      </c>
      <c r="N111" s="56">
        <v>5279</v>
      </c>
      <c r="O111" s="53">
        <v>4769.5517482902296</v>
      </c>
      <c r="P111" s="56">
        <v>299</v>
      </c>
      <c r="S111" s="54">
        <v>137</v>
      </c>
      <c r="T111" s="54">
        <v>50.995122316018801</v>
      </c>
      <c r="U111" s="58">
        <v>56</v>
      </c>
      <c r="AG111" s="57">
        <v>2084.9399966494602</v>
      </c>
      <c r="AH111" s="53">
        <v>4870.9806584171201</v>
      </c>
    </row>
    <row r="112" spans="1:34" ht="15.75" customHeight="1">
      <c r="A112" s="56">
        <v>8710</v>
      </c>
      <c r="B112" s="57">
        <v>3679.1926434494399</v>
      </c>
      <c r="C112" s="53">
        <v>5912.7696827321597</v>
      </c>
      <c r="D112" s="4">
        <v>2058</v>
      </c>
      <c r="E112">
        <f t="shared" si="0"/>
        <v>1621.1926434494399</v>
      </c>
      <c r="F112">
        <f t="shared" si="1"/>
        <v>3854.7696827321597</v>
      </c>
      <c r="N112" s="56">
        <v>8117</v>
      </c>
      <c r="O112" s="53">
        <v>6682.2006927749799</v>
      </c>
      <c r="P112" s="56">
        <v>422</v>
      </c>
      <c r="S112" s="54">
        <v>91</v>
      </c>
      <c r="T112" s="54">
        <v>33.975620460638702</v>
      </c>
      <c r="U112" s="58">
        <v>35</v>
      </c>
      <c r="AG112" s="57">
        <v>529.58213187406295</v>
      </c>
      <c r="AH112" s="53">
        <v>951.38832385048102</v>
      </c>
    </row>
    <row r="113" spans="1:34" ht="15.75" customHeight="1">
      <c r="A113" s="56">
        <v>796</v>
      </c>
      <c r="B113" s="57">
        <v>290.68049246475101</v>
      </c>
      <c r="C113" s="53">
        <v>508.70904640254901</v>
      </c>
      <c r="D113" s="4">
        <v>65</v>
      </c>
      <c r="E113">
        <f t="shared" si="0"/>
        <v>225.68049246475101</v>
      </c>
      <c r="F113">
        <f t="shared" si="1"/>
        <v>443.70904640254901</v>
      </c>
      <c r="N113" s="56">
        <v>8710</v>
      </c>
      <c r="O113" s="53">
        <v>8028.7183747170302</v>
      </c>
      <c r="P113" s="56">
        <v>1058</v>
      </c>
      <c r="AG113" s="57">
        <v>2315.69983039618</v>
      </c>
      <c r="AH113" s="53">
        <v>4769.5517482902296</v>
      </c>
    </row>
    <row r="114" spans="1:34" ht="15.75" customHeight="1">
      <c r="A114" s="56">
        <v>11023</v>
      </c>
      <c r="B114" s="57">
        <v>4282.1777306966897</v>
      </c>
      <c r="C114" s="53">
        <v>6624.1621108650497</v>
      </c>
      <c r="D114" s="4">
        <v>390</v>
      </c>
      <c r="E114">
        <f t="shared" si="0"/>
        <v>3892.1777306966897</v>
      </c>
      <c r="F114">
        <f t="shared" si="1"/>
        <v>6234.1621108650497</v>
      </c>
      <c r="N114" s="56">
        <v>796</v>
      </c>
      <c r="O114" s="53">
        <v>707.98186634529497</v>
      </c>
      <c r="P114" s="56">
        <v>65</v>
      </c>
      <c r="AG114" s="57">
        <v>2848.31033602669</v>
      </c>
      <c r="AH114" s="53">
        <v>6682.2006927749799</v>
      </c>
    </row>
    <row r="115" spans="1:34" ht="15.75" customHeight="1">
      <c r="A115" s="56">
        <v>1755</v>
      </c>
      <c r="B115" s="57">
        <v>557.55553918707096</v>
      </c>
      <c r="C115" s="53">
        <v>1165.9960759355499</v>
      </c>
      <c r="D115" s="4">
        <v>193</v>
      </c>
      <c r="E115">
        <f t="shared" si="0"/>
        <v>364.55553918707096</v>
      </c>
      <c r="F115">
        <f t="shared" si="1"/>
        <v>972.99607593554992</v>
      </c>
      <c r="N115" s="56">
        <v>11023</v>
      </c>
      <c r="O115" s="53">
        <v>9121.3406503713304</v>
      </c>
      <c r="P115" s="56">
        <v>390</v>
      </c>
      <c r="AG115" s="57">
        <v>3214.1666749195401</v>
      </c>
      <c r="AH115" s="53">
        <v>8028.7183747170302</v>
      </c>
    </row>
    <row r="116" spans="1:34" ht="15.75" customHeight="1">
      <c r="A116" s="56">
        <v>5931</v>
      </c>
      <c r="B116" s="57">
        <v>1812.04163119395</v>
      </c>
      <c r="C116" s="53">
        <v>3643.0050823801798</v>
      </c>
      <c r="D116" s="4">
        <v>1526</v>
      </c>
      <c r="E116">
        <f t="shared" si="0"/>
        <v>286.04163119395002</v>
      </c>
      <c r="F116">
        <f t="shared" si="1"/>
        <v>2117.0050823801798</v>
      </c>
      <c r="N116" s="56">
        <v>1755</v>
      </c>
      <c r="O116" s="53">
        <v>1552.7653283335301</v>
      </c>
      <c r="P116" s="56">
        <v>193</v>
      </c>
      <c r="AG116" s="57">
        <v>318.11003118080401</v>
      </c>
      <c r="AH116" s="53">
        <v>707.98186634529497</v>
      </c>
    </row>
    <row r="117" spans="1:34" ht="15.75" customHeight="1">
      <c r="A117" s="56">
        <v>4456</v>
      </c>
      <c r="B117" s="57">
        <v>1636.03991180766</v>
      </c>
      <c r="C117" s="53">
        <v>2426.2102067700298</v>
      </c>
      <c r="D117" s="4">
        <v>575</v>
      </c>
      <c r="E117">
        <f t="shared" si="0"/>
        <v>1061.03991180766</v>
      </c>
      <c r="F117">
        <f t="shared" si="1"/>
        <v>1851.2102067700298</v>
      </c>
      <c r="N117" s="56">
        <v>5931</v>
      </c>
      <c r="O117" s="53">
        <v>4851.0299629973997</v>
      </c>
      <c r="P117" s="56">
        <v>1526</v>
      </c>
      <c r="AG117" s="57">
        <v>2963.14075912931</v>
      </c>
      <c r="AH117" s="53">
        <v>9121.3406503713304</v>
      </c>
    </row>
    <row r="118" spans="1:34" ht="15.75" customHeight="1">
      <c r="A118" s="56">
        <v>3600</v>
      </c>
      <c r="B118" s="57">
        <v>1204.47087242974</v>
      </c>
      <c r="C118" s="53">
        <v>1929.3579884129599</v>
      </c>
      <c r="D118" s="4">
        <v>509</v>
      </c>
      <c r="E118">
        <f t="shared" si="0"/>
        <v>695.47087242973998</v>
      </c>
      <c r="F118">
        <f t="shared" si="1"/>
        <v>1420.3579884129599</v>
      </c>
      <c r="N118" s="56">
        <v>4456</v>
      </c>
      <c r="O118" s="53">
        <v>3953.7393718081798</v>
      </c>
      <c r="P118" s="56">
        <v>575</v>
      </c>
      <c r="AG118" s="57">
        <v>504.68546677822701</v>
      </c>
      <c r="AH118" s="53">
        <v>1552.7653283335301</v>
      </c>
    </row>
    <row r="119" spans="1:34" ht="15.75" customHeight="1">
      <c r="A119" s="56">
        <v>4557</v>
      </c>
      <c r="B119" s="57">
        <v>1433.32648274075</v>
      </c>
      <c r="C119" s="53">
        <v>2768.43092306575</v>
      </c>
      <c r="D119" s="4">
        <v>583</v>
      </c>
      <c r="E119">
        <f t="shared" si="0"/>
        <v>850.32648274074995</v>
      </c>
      <c r="F119">
        <f t="shared" si="1"/>
        <v>2185.43092306575</v>
      </c>
      <c r="N119" s="56">
        <v>3600</v>
      </c>
      <c r="O119" s="53">
        <v>3162.3385020031201</v>
      </c>
      <c r="P119" s="56">
        <v>509</v>
      </c>
      <c r="AG119" s="57">
        <v>1570.49544192186</v>
      </c>
      <c r="AH119" s="53">
        <v>4851.0299629973997</v>
      </c>
    </row>
    <row r="120" spans="1:34" ht="15.75" customHeight="1">
      <c r="A120" s="56">
        <v>8752</v>
      </c>
      <c r="B120" s="57">
        <v>3328.0161257755499</v>
      </c>
      <c r="C120" s="53">
        <v>4748.0994474690197</v>
      </c>
      <c r="D120" s="4">
        <v>315</v>
      </c>
      <c r="E120">
        <f t="shared" si="0"/>
        <v>3013.0161257755499</v>
      </c>
      <c r="F120">
        <f t="shared" si="1"/>
        <v>4433.0994474690197</v>
      </c>
      <c r="N120" s="56">
        <v>4557</v>
      </c>
      <c r="O120" s="53">
        <v>3935.0164263309798</v>
      </c>
      <c r="P120" s="56">
        <v>583</v>
      </c>
      <c r="AG120" s="57">
        <v>1645.94775114763</v>
      </c>
      <c r="AH120" s="53">
        <v>3953.7393718081798</v>
      </c>
    </row>
    <row r="121" spans="1:34" ht="15.75" customHeight="1">
      <c r="A121" s="56">
        <v>3440</v>
      </c>
      <c r="B121" s="57">
        <v>1077.32616836799</v>
      </c>
      <c r="C121" s="53">
        <v>1980.2408583087099</v>
      </c>
      <c r="D121" s="4">
        <v>138</v>
      </c>
      <c r="E121">
        <f t="shared" si="0"/>
        <v>939.32616836799002</v>
      </c>
      <c r="F121">
        <f t="shared" si="1"/>
        <v>1842.2408583087099</v>
      </c>
      <c r="N121" s="56">
        <v>8752</v>
      </c>
      <c r="O121" s="53">
        <v>7698.4971875608499</v>
      </c>
      <c r="P121" s="56">
        <v>315</v>
      </c>
      <c r="AG121" s="57">
        <v>1046.4650962358501</v>
      </c>
      <c r="AH121" s="53">
        <v>3162.3385020031201</v>
      </c>
    </row>
    <row r="122" spans="1:34" ht="15.75" customHeight="1">
      <c r="A122" s="56">
        <v>1981</v>
      </c>
      <c r="B122" s="57">
        <v>801.25466379262105</v>
      </c>
      <c r="C122" s="53">
        <v>1075.8258704924899</v>
      </c>
      <c r="D122" s="4">
        <v>257</v>
      </c>
      <c r="E122">
        <f t="shared" si="0"/>
        <v>544.25466379262105</v>
      </c>
      <c r="F122">
        <f t="shared" si="1"/>
        <v>818.82587049248991</v>
      </c>
      <c r="N122" s="56">
        <v>3440</v>
      </c>
      <c r="O122" s="53">
        <v>3070.5977938503302</v>
      </c>
      <c r="P122" s="56">
        <v>138</v>
      </c>
      <c r="AG122" s="57">
        <v>2228.4923841677901</v>
      </c>
      <c r="AH122" s="53">
        <v>3935.0164263309798</v>
      </c>
    </row>
    <row r="123" spans="1:34" ht="15.75" customHeight="1">
      <c r="A123" s="56">
        <v>13700</v>
      </c>
      <c r="B123" s="57">
        <v>2909.99033441041</v>
      </c>
      <c r="C123" s="53">
        <v>6727.7857688213799</v>
      </c>
      <c r="D123" s="4">
        <v>423</v>
      </c>
      <c r="E123">
        <f t="shared" si="0"/>
        <v>2486.99033441041</v>
      </c>
      <c r="F123">
        <f t="shared" si="1"/>
        <v>6304.7857688213799</v>
      </c>
      <c r="N123" s="56">
        <v>1981</v>
      </c>
      <c r="O123" s="53">
        <v>1701.95777400765</v>
      </c>
      <c r="P123" s="56">
        <v>257</v>
      </c>
      <c r="AG123" s="57">
        <v>2598.51208221875</v>
      </c>
      <c r="AH123" s="53">
        <v>7698.4971875608499</v>
      </c>
    </row>
    <row r="124" spans="1:34" ht="15.75" customHeight="1">
      <c r="A124" s="56">
        <v>7105</v>
      </c>
      <c r="B124" s="57">
        <v>1846.9005202624401</v>
      </c>
      <c r="C124" s="53">
        <v>3967.7686932991701</v>
      </c>
      <c r="D124" s="4">
        <v>495</v>
      </c>
      <c r="E124">
        <f t="shared" si="0"/>
        <v>1351.9005202624401</v>
      </c>
      <c r="F124">
        <f t="shared" si="1"/>
        <v>3472.7686932991701</v>
      </c>
      <c r="N124" s="56">
        <v>13700</v>
      </c>
      <c r="O124" s="53">
        <v>10806.2367828406</v>
      </c>
      <c r="P124" s="56">
        <v>423</v>
      </c>
      <c r="AG124" s="57">
        <v>1038.5100678404399</v>
      </c>
      <c r="AH124" s="53">
        <v>3070.5977938503302</v>
      </c>
    </row>
    <row r="125" spans="1:34" ht="15.75" customHeight="1">
      <c r="A125" s="56">
        <v>6816</v>
      </c>
      <c r="B125" s="57">
        <v>1890.29218228948</v>
      </c>
      <c r="C125" s="53">
        <v>3304.3267364390899</v>
      </c>
      <c r="D125" s="4">
        <v>622</v>
      </c>
      <c r="E125">
        <f t="shared" si="0"/>
        <v>1268.29218228948</v>
      </c>
      <c r="F125">
        <f t="shared" si="1"/>
        <v>2682.3267364390899</v>
      </c>
      <c r="N125" s="56">
        <v>7105</v>
      </c>
      <c r="O125" s="53">
        <v>6261.4909819768</v>
      </c>
      <c r="P125" s="56">
        <v>495</v>
      </c>
      <c r="AG125" s="57">
        <v>1003.3359433890899</v>
      </c>
      <c r="AH125" s="53">
        <v>1701.95777400765</v>
      </c>
    </row>
    <row r="126" spans="1:34" ht="15.75" customHeight="1">
      <c r="A126" s="56">
        <v>4620</v>
      </c>
      <c r="B126" s="57">
        <v>1492.9469636223</v>
      </c>
      <c r="C126" s="53">
        <v>3062.7853976823899</v>
      </c>
      <c r="D126" s="4">
        <v>204</v>
      </c>
      <c r="E126">
        <f t="shared" si="0"/>
        <v>1288.9469636223</v>
      </c>
      <c r="F126">
        <f t="shared" si="1"/>
        <v>2858.7853976823899</v>
      </c>
      <c r="N126" s="56">
        <v>6816</v>
      </c>
      <c r="O126" s="53">
        <v>5859.1634153073501</v>
      </c>
      <c r="P126" s="56">
        <v>622</v>
      </c>
      <c r="AG126" s="57">
        <v>2699.8779986763002</v>
      </c>
      <c r="AH126" s="53">
        <v>10806.2367828406</v>
      </c>
    </row>
    <row r="127" spans="1:34" ht="15.75" customHeight="1">
      <c r="A127" s="56">
        <v>7451</v>
      </c>
      <c r="B127" s="57">
        <v>2293.9279767609401</v>
      </c>
      <c r="C127" s="53">
        <v>4563.1571506475002</v>
      </c>
      <c r="D127" s="4">
        <v>616</v>
      </c>
      <c r="E127">
        <f t="shared" si="0"/>
        <v>1677.9279767609401</v>
      </c>
      <c r="F127">
        <f t="shared" si="1"/>
        <v>3947.1571506475002</v>
      </c>
      <c r="N127" s="56">
        <v>4620</v>
      </c>
      <c r="O127" s="53">
        <v>4059.8363319350301</v>
      </c>
      <c r="P127" s="56">
        <v>204</v>
      </c>
      <c r="AG127" s="57">
        <v>2255.3100451888299</v>
      </c>
      <c r="AH127" s="53">
        <v>6261.4909819768</v>
      </c>
    </row>
    <row r="128" spans="1:34" ht="15.75" customHeight="1">
      <c r="A128" s="56">
        <v>39479</v>
      </c>
      <c r="B128" s="57">
        <v>10052.638822523801</v>
      </c>
      <c r="C128" s="53">
        <v>20353.343358911701</v>
      </c>
      <c r="D128" s="4">
        <v>3643</v>
      </c>
      <c r="E128">
        <f t="shared" si="0"/>
        <v>6409.6388225238006</v>
      </c>
      <c r="F128">
        <f t="shared" si="1"/>
        <v>16710.343358911701</v>
      </c>
      <c r="N128" s="56">
        <v>7451</v>
      </c>
      <c r="O128" s="53">
        <v>6501.92367656838</v>
      </c>
      <c r="P128" s="56">
        <v>616</v>
      </c>
      <c r="AG128" s="57">
        <v>1946.44600890942</v>
      </c>
      <c r="AH128" s="53">
        <v>5859.1634153073501</v>
      </c>
    </row>
    <row r="129" spans="1:34" ht="15.75" customHeight="1">
      <c r="E129">
        <f>AVERAGE(E67:E128)</f>
        <v>722.50300199835135</v>
      </c>
      <c r="F129">
        <f>AVERAGE(F67:F128)</f>
        <v>2319.6644875348002</v>
      </c>
      <c r="N129" s="56">
        <v>39479</v>
      </c>
      <c r="O129" s="53">
        <v>29602.093088483802</v>
      </c>
      <c r="P129" s="56">
        <v>3643</v>
      </c>
      <c r="AG129" s="57">
        <v>1881.1092594393999</v>
      </c>
      <c r="AH129" s="53">
        <v>4059.8363319350301</v>
      </c>
    </row>
    <row r="130" spans="1:34" ht="15.75" customHeight="1">
      <c r="AG130" s="57">
        <v>2210.2616511070401</v>
      </c>
      <c r="AH130" s="53">
        <v>6501.92367656838</v>
      </c>
    </row>
    <row r="131" spans="1:34" ht="15.75" customHeight="1">
      <c r="A131" s="9">
        <v>7871</v>
      </c>
      <c r="B131" s="57">
        <v>646.83151006971696</v>
      </c>
      <c r="C131" s="51">
        <v>5176</v>
      </c>
      <c r="AG131" s="57">
        <v>9409.0742448418696</v>
      </c>
      <c r="AH131" s="53">
        <v>29602.093088483802</v>
      </c>
    </row>
    <row r="132" spans="1:34" ht="15.75" customHeight="1">
      <c r="A132" s="9">
        <v>845</v>
      </c>
      <c r="B132" s="54">
        <v>129.95395474635299</v>
      </c>
      <c r="C132" s="51">
        <v>1170</v>
      </c>
    </row>
    <row r="133" spans="1:34" ht="15.75" customHeight="1">
      <c r="A133" s="9">
        <v>2330</v>
      </c>
      <c r="B133" s="57">
        <v>254.023313215999</v>
      </c>
      <c r="C133" s="51">
        <v>1524</v>
      </c>
    </row>
    <row r="134" spans="1:34" ht="15.75" customHeight="1">
      <c r="A134" s="9">
        <v>21272</v>
      </c>
      <c r="B134" s="57">
        <v>1056.43957986501</v>
      </c>
      <c r="C134" s="51">
        <v>2112</v>
      </c>
    </row>
    <row r="135" spans="1:34" ht="15.75" customHeight="1">
      <c r="A135" s="9">
        <v>4224</v>
      </c>
      <c r="B135" s="57">
        <v>383.25147969895698</v>
      </c>
      <c r="C135" s="51">
        <v>1532</v>
      </c>
      <c r="D135" s="50"/>
      <c r="E135" s="50"/>
      <c r="F135" s="50"/>
      <c r="G135" s="50"/>
      <c r="H135" s="50"/>
    </row>
    <row r="136" spans="1:34" ht="15.75" customHeight="1">
      <c r="A136" s="9">
        <v>2826</v>
      </c>
      <c r="B136" s="57">
        <v>488.56729520112299</v>
      </c>
      <c r="C136" s="51">
        <v>2760</v>
      </c>
      <c r="D136" s="50"/>
      <c r="E136" s="50"/>
      <c r="F136" s="50"/>
      <c r="G136" s="50"/>
      <c r="H136" s="50"/>
    </row>
    <row r="137" spans="1:34" ht="15.75" customHeight="1">
      <c r="A137" s="9">
        <v>7320</v>
      </c>
      <c r="B137" s="57">
        <v>844.89406279341802</v>
      </c>
      <c r="C137" s="51">
        <v>627</v>
      </c>
    </row>
    <row r="138" spans="1:34" ht="15.75" customHeight="1">
      <c r="A138" s="9">
        <v>9125</v>
      </c>
      <c r="B138" s="57">
        <v>1030.7606993433301</v>
      </c>
      <c r="C138" s="51">
        <v>732</v>
      </c>
    </row>
    <row r="139" spans="1:34" ht="15.75" customHeight="1">
      <c r="A139" s="9">
        <v>11900</v>
      </c>
      <c r="B139" s="57">
        <v>1180.7281013700299</v>
      </c>
      <c r="C139" s="51">
        <v>3543</v>
      </c>
    </row>
    <row r="140" spans="1:34" ht="15.75" customHeight="1">
      <c r="A140" s="9">
        <v>4300</v>
      </c>
      <c r="B140" s="57">
        <v>479.93807599412099</v>
      </c>
      <c r="C140" s="51">
        <v>543</v>
      </c>
    </row>
    <row r="141" spans="1:34" ht="15.75" customHeight="1">
      <c r="A141" s="9">
        <v>4150</v>
      </c>
      <c r="B141" s="57">
        <v>735.23100709680205</v>
      </c>
      <c r="C141" s="51">
        <v>4434</v>
      </c>
    </row>
    <row r="142" spans="1:34" ht="15.75" customHeight="1">
      <c r="A142" s="9">
        <v>900</v>
      </c>
      <c r="B142" s="57">
        <v>108.02470803881999</v>
      </c>
      <c r="C142" s="51">
        <v>756</v>
      </c>
    </row>
    <row r="143" spans="1:34" ht="15.75" customHeight="1">
      <c r="A143" s="9">
        <v>583</v>
      </c>
      <c r="B143" s="57">
        <v>114.199904630216</v>
      </c>
      <c r="C143" s="51">
        <v>288</v>
      </c>
    </row>
    <row r="144" spans="1:34" ht="15.75" customHeight="1">
      <c r="A144" s="9">
        <v>2565</v>
      </c>
      <c r="B144" s="57">
        <v>275.52638612441098</v>
      </c>
      <c r="C144" s="51">
        <v>1743</v>
      </c>
    </row>
    <row r="145" spans="1:3" ht="15.75" customHeight="1">
      <c r="A145" s="9">
        <v>4047</v>
      </c>
      <c r="B145" s="57">
        <v>371.02563561209399</v>
      </c>
      <c r="C145" s="51">
        <v>2968</v>
      </c>
    </row>
    <row r="146" spans="1:3" ht="15.75" customHeight="1">
      <c r="A146" s="9">
        <v>1520</v>
      </c>
      <c r="B146" s="57">
        <v>211.54832325580199</v>
      </c>
      <c r="C146" s="51">
        <v>633</v>
      </c>
    </row>
    <row r="147" spans="1:3" ht="15.75" customHeight="1">
      <c r="A147" s="9">
        <v>25910</v>
      </c>
      <c r="B147" s="57">
        <v>1849.42099662384</v>
      </c>
      <c r="C147" s="51">
        <v>12943</v>
      </c>
    </row>
    <row r="148" spans="1:3" ht="15.75" customHeight="1">
      <c r="A148" s="9">
        <v>37286</v>
      </c>
      <c r="B148" s="57">
        <v>2479.7645828024401</v>
      </c>
      <c r="C148" s="51">
        <v>12410</v>
      </c>
    </row>
    <row r="149" spans="1:3" ht="15.75" customHeight="1">
      <c r="A149" s="9">
        <v>15052</v>
      </c>
      <c r="B149" s="57">
        <v>919.48346884938098</v>
      </c>
      <c r="C149" s="51">
        <v>434</v>
      </c>
    </row>
    <row r="150" spans="1:3" ht="15.75" customHeight="1">
      <c r="A150" s="9">
        <v>11039</v>
      </c>
      <c r="B150" s="57">
        <v>883.18986862215104</v>
      </c>
      <c r="C150" s="51">
        <v>876</v>
      </c>
    </row>
    <row r="151" spans="1:3" ht="15.75" customHeight="1">
      <c r="A151" s="9">
        <v>18500</v>
      </c>
      <c r="B151" s="57">
        <v>2953.9568771911399</v>
      </c>
      <c r="C151" s="51">
        <v>17724</v>
      </c>
    </row>
    <row r="152" spans="1:3" ht="15.75" customHeight="1">
      <c r="A152" s="9">
        <v>9369</v>
      </c>
      <c r="B152" s="57">
        <v>414.199386996805</v>
      </c>
      <c r="C152" s="51">
        <v>2128</v>
      </c>
    </row>
    <row r="153" spans="1:3" ht="15.75" customHeight="1">
      <c r="A153" s="9">
        <v>7184</v>
      </c>
      <c r="B153" s="57">
        <v>680.39177022519902</v>
      </c>
      <c r="C153" s="51">
        <v>1765</v>
      </c>
    </row>
    <row r="154" spans="1:3" ht="15.75" customHeight="1">
      <c r="A154" s="9">
        <v>10447</v>
      </c>
      <c r="B154" s="57">
        <v>904.81614759265699</v>
      </c>
      <c r="C154" s="51">
        <v>4536</v>
      </c>
    </row>
    <row r="155" spans="1:3" ht="15.75" customHeight="1">
      <c r="A155" s="9">
        <v>5100</v>
      </c>
      <c r="B155" s="57">
        <v>535.77565118810696</v>
      </c>
      <c r="C155" s="51">
        <v>3269</v>
      </c>
    </row>
    <row r="156" spans="1:3" ht="15.75" customHeight="1">
      <c r="A156" s="9">
        <v>63694</v>
      </c>
      <c r="B156" s="57">
        <v>3368.06104145472</v>
      </c>
      <c r="C156" s="51">
        <v>10104</v>
      </c>
    </row>
    <row r="157" spans="1:3" ht="15.75" customHeight="1">
      <c r="A157" s="9">
        <v>1651</v>
      </c>
      <c r="B157" s="57">
        <v>253.08465119687199</v>
      </c>
      <c r="C157" s="51">
        <v>2024</v>
      </c>
    </row>
    <row r="158" spans="1:3" ht="15.75" customHeight="1">
      <c r="A158" s="9">
        <v>1450</v>
      </c>
      <c r="B158" s="57">
        <v>196.058294492268</v>
      </c>
      <c r="C158" s="51">
        <v>1372</v>
      </c>
    </row>
    <row r="159" spans="1:3" ht="15.75" customHeight="1">
      <c r="A159" s="9">
        <v>1745</v>
      </c>
      <c r="B159" s="57">
        <v>219.699915634771</v>
      </c>
      <c r="C159" s="51">
        <v>1480</v>
      </c>
    </row>
    <row r="160" spans="1:3" ht="15.75" customHeight="1">
      <c r="A160" s="9">
        <v>1798</v>
      </c>
      <c r="B160" s="57">
        <v>387.04089250512402</v>
      </c>
      <c r="C160" s="51">
        <v>1548</v>
      </c>
    </row>
    <row r="161" spans="1:3" ht="15.75" customHeight="1">
      <c r="A161" s="9">
        <v>2957</v>
      </c>
      <c r="B161" s="57">
        <v>430.17924022545702</v>
      </c>
      <c r="C161" s="51">
        <v>1720</v>
      </c>
    </row>
    <row r="162" spans="1:3" ht="15.75" customHeight="1">
      <c r="A162" s="9">
        <v>963</v>
      </c>
      <c r="B162" s="57">
        <v>204.01914937184301</v>
      </c>
      <c r="C162" s="51">
        <v>1020</v>
      </c>
    </row>
    <row r="163" spans="1:3" ht="15.75" customHeight="1">
      <c r="A163" s="9">
        <v>1233</v>
      </c>
      <c r="B163" s="57">
        <v>92.692998860935504</v>
      </c>
      <c r="C163" s="51">
        <v>284</v>
      </c>
    </row>
    <row r="164" spans="1:3" ht="15.75" customHeight="1">
      <c r="A164" s="9">
        <v>3240</v>
      </c>
      <c r="B164" s="57">
        <v>839.99823121594397</v>
      </c>
      <c r="C164" s="51">
        <v>5880</v>
      </c>
    </row>
    <row r="165" spans="1:3" ht="15.75" customHeight="1">
      <c r="A165" s="9">
        <v>10000</v>
      </c>
      <c r="B165" s="57">
        <v>1648.0457990004199</v>
      </c>
      <c r="C165" s="51">
        <v>9888</v>
      </c>
    </row>
    <row r="166" spans="1:3" ht="15.75" customHeight="1">
      <c r="A166" s="9">
        <v>6800</v>
      </c>
      <c r="B166" s="57">
        <v>1034.88948247449</v>
      </c>
      <c r="C166" s="51">
        <v>7245</v>
      </c>
    </row>
    <row r="167" spans="1:3" ht="15.75" customHeight="1">
      <c r="A167" s="9">
        <v>3850</v>
      </c>
      <c r="B167" s="57">
        <v>547.87800346413997</v>
      </c>
      <c r="C167" s="51">
        <v>548</v>
      </c>
    </row>
    <row r="168" spans="1:3" ht="15.75" customHeight="1">
      <c r="A168" s="9">
        <v>14000</v>
      </c>
      <c r="B168" s="57">
        <v>3412.00440805577</v>
      </c>
      <c r="C168" s="51">
        <v>14378</v>
      </c>
    </row>
    <row r="169" spans="1:3" ht="15.75" customHeight="1">
      <c r="A169" s="9">
        <v>5787</v>
      </c>
      <c r="B169" s="57">
        <v>1734.0391255895599</v>
      </c>
      <c r="C169" s="51">
        <v>1208</v>
      </c>
    </row>
    <row r="170" spans="1:3" ht="15.75" customHeight="1">
      <c r="A170" s="9">
        <v>9700</v>
      </c>
      <c r="B170" s="57">
        <v>2762.7875518072901</v>
      </c>
      <c r="C170" s="51">
        <v>10548</v>
      </c>
    </row>
    <row r="171" spans="1:3" ht="15.75" customHeight="1">
      <c r="A171" s="9">
        <v>1100</v>
      </c>
      <c r="B171" s="57">
        <v>504.292752897941</v>
      </c>
      <c r="C171" s="51">
        <v>1771</v>
      </c>
    </row>
    <row r="172" spans="1:3" ht="15.75" customHeight="1">
      <c r="A172" s="9">
        <v>5578</v>
      </c>
      <c r="B172" s="57">
        <v>1856.8167915372901</v>
      </c>
      <c r="C172" s="51">
        <v>1816</v>
      </c>
    </row>
    <row r="173" spans="1:3" ht="15.75" customHeight="1">
      <c r="A173" s="9">
        <v>1060</v>
      </c>
      <c r="B173" s="57">
        <v>468.891472826572</v>
      </c>
      <c r="C173" s="51">
        <v>472</v>
      </c>
    </row>
    <row r="174" spans="1:3" ht="15.75" customHeight="1">
      <c r="A174" s="9">
        <v>5279</v>
      </c>
      <c r="B174" s="57">
        <v>2569.8673176157299</v>
      </c>
      <c r="C174" s="51">
        <v>2093</v>
      </c>
    </row>
    <row r="175" spans="1:3" ht="15.75" customHeight="1">
      <c r="A175" s="9">
        <v>8117</v>
      </c>
      <c r="B175" s="57">
        <v>3101.4175465573198</v>
      </c>
      <c r="C175" s="51">
        <v>2110</v>
      </c>
    </row>
    <row r="176" spans="1:3" ht="15.75" customHeight="1">
      <c r="A176" s="9">
        <v>8710</v>
      </c>
      <c r="B176" s="57">
        <v>3712.8771124370801</v>
      </c>
      <c r="C176" s="51">
        <v>6348</v>
      </c>
    </row>
    <row r="177" spans="1:3" ht="15.75" customHeight="1">
      <c r="A177" s="9">
        <v>796</v>
      </c>
      <c r="B177" s="57">
        <v>340.71462499212203</v>
      </c>
      <c r="C177" s="51">
        <v>390</v>
      </c>
    </row>
    <row r="178" spans="1:3" ht="15.75" customHeight="1">
      <c r="A178" s="9">
        <v>11023</v>
      </c>
      <c r="B178" s="57">
        <v>3769.36500564775</v>
      </c>
      <c r="C178" s="51">
        <v>1560</v>
      </c>
    </row>
    <row r="179" spans="1:3" ht="15.75" customHeight="1">
      <c r="A179" s="9">
        <v>1755</v>
      </c>
      <c r="B179" s="57">
        <v>608.23445419751499</v>
      </c>
      <c r="C179" s="51">
        <v>1158</v>
      </c>
    </row>
    <row r="180" spans="1:3" ht="15.75" customHeight="1">
      <c r="A180" s="9">
        <v>5931</v>
      </c>
      <c r="B180" s="57">
        <v>1525.5359891299099</v>
      </c>
      <c r="C180" s="51">
        <v>10682</v>
      </c>
    </row>
    <row r="181" spans="1:3" ht="15.75" customHeight="1">
      <c r="A181" s="9">
        <v>4456</v>
      </c>
      <c r="B181" s="57">
        <v>1766.4881066898199</v>
      </c>
      <c r="C181" s="51">
        <v>5175</v>
      </c>
    </row>
    <row r="182" spans="1:3" ht="15.75" customHeight="1">
      <c r="A182" s="9">
        <v>3600</v>
      </c>
      <c r="B182" s="57">
        <v>1251.27461339964</v>
      </c>
      <c r="C182" s="51">
        <v>1527</v>
      </c>
    </row>
    <row r="183" spans="1:3" ht="15.75" customHeight="1">
      <c r="A183" s="9">
        <v>4557</v>
      </c>
      <c r="B183" s="57">
        <v>1663.41988842725</v>
      </c>
      <c r="C183" s="51">
        <v>2332</v>
      </c>
    </row>
    <row r="184" spans="1:3" ht="15.75" customHeight="1">
      <c r="A184" s="9">
        <v>8752</v>
      </c>
      <c r="B184" s="57">
        <v>2634.4385012405901</v>
      </c>
      <c r="C184" s="51">
        <v>1260</v>
      </c>
    </row>
    <row r="185" spans="1:3" ht="15.75" customHeight="1">
      <c r="A185" s="9">
        <v>3440</v>
      </c>
      <c r="B185" s="57">
        <v>1198.2094545611001</v>
      </c>
      <c r="C185" s="51">
        <v>690</v>
      </c>
    </row>
    <row r="186" spans="1:3" ht="15.75" customHeight="1">
      <c r="A186" s="9">
        <v>1981</v>
      </c>
      <c r="B186" s="57">
        <v>804.29811850333101</v>
      </c>
      <c r="C186" s="51">
        <v>1028</v>
      </c>
    </row>
    <row r="187" spans="1:3" ht="15.75" customHeight="1">
      <c r="A187" s="9">
        <v>13700</v>
      </c>
      <c r="B187" s="57">
        <v>3241.3470199496401</v>
      </c>
      <c r="C187" s="51">
        <v>423</v>
      </c>
    </row>
    <row r="188" spans="1:3" ht="15.75" customHeight="1">
      <c r="A188" s="9">
        <v>7105</v>
      </c>
      <c r="B188" s="57">
        <v>2598.0874125471701</v>
      </c>
      <c r="C188" s="51">
        <v>3465</v>
      </c>
    </row>
    <row r="189" spans="1:3" ht="15.75" customHeight="1">
      <c r="A189" s="9">
        <v>6816</v>
      </c>
      <c r="B189" s="57">
        <v>2036.7849664718699</v>
      </c>
      <c r="C189" s="51">
        <v>3732</v>
      </c>
    </row>
    <row r="190" spans="1:3" ht="15.75" customHeight="1">
      <c r="A190" s="9">
        <v>4620</v>
      </c>
      <c r="B190" s="57">
        <v>1458.23606500356</v>
      </c>
      <c r="C190" s="51">
        <v>1632</v>
      </c>
    </row>
    <row r="191" spans="1:3" ht="15.75" customHeight="1">
      <c r="A191" s="9">
        <v>7451</v>
      </c>
      <c r="B191" s="57">
        <v>2435.01161808282</v>
      </c>
      <c r="C191" s="51">
        <v>3696</v>
      </c>
    </row>
    <row r="192" spans="1:3" ht="15.75" customHeight="1">
      <c r="A192" s="9">
        <v>39479</v>
      </c>
      <c r="B192" s="57">
        <v>8704.0850160253995</v>
      </c>
      <c r="C192" s="51">
        <v>25501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W66:X66"/>
    <mergeCell ref="E65:F65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7F99-DCAB-D94D-ABBC-12BEB7384E01}">
  <dimension ref="A1:E64"/>
  <sheetViews>
    <sheetView tabSelected="1" workbookViewId="0">
      <selection activeCell="B23" sqref="B3:B23"/>
    </sheetView>
  </sheetViews>
  <sheetFormatPr baseColWidth="10" defaultRowHeight="16"/>
  <cols>
    <col min="1" max="1" width="28.33203125" customWidth="1"/>
    <col min="2" max="2" width="34.6640625" customWidth="1"/>
    <col min="3" max="3" width="47.5" customWidth="1"/>
    <col min="4" max="4" width="35.33203125" customWidth="1"/>
  </cols>
  <sheetData>
    <row r="1" spans="1:5">
      <c r="A1" s="67" t="s">
        <v>98</v>
      </c>
      <c r="B1" s="67"/>
      <c r="C1" s="67"/>
      <c r="D1" s="67"/>
      <c r="E1" s="68"/>
    </row>
    <row r="2" spans="1:5">
      <c r="A2" s="66" t="s">
        <v>104</v>
      </c>
      <c r="B2" s="66" t="s">
        <v>103</v>
      </c>
      <c r="C2" s="66" t="s">
        <v>105</v>
      </c>
      <c r="D2" s="66" t="s">
        <v>106</v>
      </c>
      <c r="E2" s="65"/>
    </row>
    <row r="3" spans="1:5">
      <c r="A3" s="49" t="s">
        <v>107</v>
      </c>
      <c r="B3" s="49" t="s">
        <v>128</v>
      </c>
      <c r="C3" s="52" t="s">
        <v>149</v>
      </c>
      <c r="D3" s="52" t="s">
        <v>211</v>
      </c>
    </row>
    <row r="4" spans="1:5">
      <c r="A4" s="49" t="s">
        <v>108</v>
      </c>
      <c r="B4" s="49" t="s">
        <v>129</v>
      </c>
      <c r="C4" s="52" t="s">
        <v>150</v>
      </c>
      <c r="D4" s="52" t="s">
        <v>212</v>
      </c>
    </row>
    <row r="5" spans="1:5">
      <c r="A5" s="49" t="s">
        <v>109</v>
      </c>
      <c r="B5" s="49" t="s">
        <v>130</v>
      </c>
      <c r="C5" s="52" t="s">
        <v>151</v>
      </c>
      <c r="D5" s="52" t="s">
        <v>213</v>
      </c>
    </row>
    <row r="6" spans="1:5">
      <c r="A6" s="49" t="s">
        <v>110</v>
      </c>
      <c r="B6" s="49" t="s">
        <v>131</v>
      </c>
      <c r="C6" s="52" t="s">
        <v>152</v>
      </c>
      <c r="D6" s="52" t="s">
        <v>214</v>
      </c>
    </row>
    <row r="7" spans="1:5">
      <c r="A7" s="49" t="s">
        <v>111</v>
      </c>
      <c r="B7" s="49" t="s">
        <v>132</v>
      </c>
      <c r="C7" s="52" t="s">
        <v>153</v>
      </c>
      <c r="D7" s="52" t="s">
        <v>215</v>
      </c>
    </row>
    <row r="8" spans="1:5">
      <c r="A8" s="49" t="s">
        <v>112</v>
      </c>
      <c r="B8" s="49" t="s">
        <v>133</v>
      </c>
      <c r="C8" s="52" t="s">
        <v>154</v>
      </c>
      <c r="D8" s="52" t="s">
        <v>216</v>
      </c>
    </row>
    <row r="9" spans="1:5">
      <c r="A9" s="49" t="s">
        <v>113</v>
      </c>
      <c r="B9" s="49" t="s">
        <v>134</v>
      </c>
      <c r="C9" s="52" t="s">
        <v>155</v>
      </c>
      <c r="D9" s="52" t="s">
        <v>217</v>
      </c>
    </row>
    <row r="10" spans="1:5">
      <c r="A10" s="49" t="s">
        <v>114</v>
      </c>
      <c r="B10" s="49" t="s">
        <v>135</v>
      </c>
      <c r="C10" s="52" t="s">
        <v>156</v>
      </c>
      <c r="D10" s="52" t="s">
        <v>218</v>
      </c>
    </row>
    <row r="11" spans="1:5">
      <c r="A11" s="49" t="s">
        <v>115</v>
      </c>
      <c r="B11" s="49" t="s">
        <v>136</v>
      </c>
      <c r="C11" s="52" t="s">
        <v>157</v>
      </c>
      <c r="D11" s="52" t="s">
        <v>219</v>
      </c>
    </row>
    <row r="12" spans="1:5">
      <c r="A12" s="49" t="s">
        <v>116</v>
      </c>
      <c r="B12" s="49" t="s">
        <v>137</v>
      </c>
      <c r="C12" s="52" t="s">
        <v>158</v>
      </c>
      <c r="D12" s="52" t="s">
        <v>220</v>
      </c>
    </row>
    <row r="13" spans="1:5">
      <c r="A13" s="49" t="s">
        <v>117</v>
      </c>
      <c r="B13" s="49" t="s">
        <v>138</v>
      </c>
      <c r="C13" s="52" t="s">
        <v>159</v>
      </c>
      <c r="D13" s="52" t="s">
        <v>221</v>
      </c>
    </row>
    <row r="14" spans="1:5">
      <c r="A14" s="49" t="s">
        <v>118</v>
      </c>
      <c r="B14" s="49" t="s">
        <v>139</v>
      </c>
      <c r="C14" s="52" t="s">
        <v>160</v>
      </c>
      <c r="D14" s="52" t="s">
        <v>222</v>
      </c>
    </row>
    <row r="15" spans="1:5">
      <c r="A15" s="49" t="s">
        <v>119</v>
      </c>
      <c r="B15" s="49" t="s">
        <v>140</v>
      </c>
      <c r="C15" s="52" t="s">
        <v>161</v>
      </c>
      <c r="D15" s="52" t="s">
        <v>223</v>
      </c>
    </row>
    <row r="16" spans="1:5">
      <c r="A16" s="49" t="s">
        <v>120</v>
      </c>
      <c r="B16" s="49" t="s">
        <v>141</v>
      </c>
      <c r="C16" s="52" t="s">
        <v>162</v>
      </c>
      <c r="D16" s="52" t="s">
        <v>224</v>
      </c>
    </row>
    <row r="17" spans="1:4">
      <c r="A17" s="49" t="s">
        <v>121</v>
      </c>
      <c r="B17" s="49" t="s">
        <v>142</v>
      </c>
      <c r="C17" s="52" t="s">
        <v>163</v>
      </c>
      <c r="D17" s="52" t="s">
        <v>225</v>
      </c>
    </row>
    <row r="18" spans="1:4">
      <c r="A18" s="49" t="s">
        <v>122</v>
      </c>
      <c r="B18" s="49" t="s">
        <v>143</v>
      </c>
      <c r="C18" s="52" t="s">
        <v>164</v>
      </c>
      <c r="D18" s="52" t="s">
        <v>226</v>
      </c>
    </row>
    <row r="19" spans="1:4">
      <c r="A19" s="49" t="s">
        <v>123</v>
      </c>
      <c r="B19" s="49" t="s">
        <v>144</v>
      </c>
      <c r="C19" s="52" t="s">
        <v>165</v>
      </c>
      <c r="D19" s="52" t="s">
        <v>227</v>
      </c>
    </row>
    <row r="20" spans="1:4">
      <c r="A20" s="49" t="s">
        <v>124</v>
      </c>
      <c r="B20" s="49" t="s">
        <v>145</v>
      </c>
      <c r="C20" s="52" t="s">
        <v>166</v>
      </c>
      <c r="D20" s="52" t="s">
        <v>228</v>
      </c>
    </row>
    <row r="21" spans="1:4">
      <c r="A21" s="49" t="s">
        <v>125</v>
      </c>
      <c r="B21" s="49" t="s">
        <v>146</v>
      </c>
      <c r="C21" s="52" t="s">
        <v>167</v>
      </c>
      <c r="D21" s="52" t="s">
        <v>229</v>
      </c>
    </row>
    <row r="22" spans="1:4">
      <c r="A22" s="49" t="s">
        <v>126</v>
      </c>
      <c r="B22" s="49" t="s">
        <v>147</v>
      </c>
      <c r="C22" s="52" t="s">
        <v>168</v>
      </c>
      <c r="D22" s="52" t="s">
        <v>230</v>
      </c>
    </row>
    <row r="23" spans="1:4">
      <c r="A23" s="49" t="s">
        <v>127</v>
      </c>
      <c r="B23" s="49" t="s">
        <v>148</v>
      </c>
      <c r="C23" s="52" t="s">
        <v>169</v>
      </c>
      <c r="D23" s="52" t="s">
        <v>231</v>
      </c>
    </row>
    <row r="24" spans="1:4">
      <c r="C24" s="52" t="s">
        <v>170</v>
      </c>
      <c r="D24" s="52" t="s">
        <v>232</v>
      </c>
    </row>
    <row r="25" spans="1:4">
      <c r="C25" s="52" t="s">
        <v>171</v>
      </c>
      <c r="D25" s="52" t="s">
        <v>233</v>
      </c>
    </row>
    <row r="26" spans="1:4">
      <c r="C26" s="52" t="s">
        <v>172</v>
      </c>
      <c r="D26" s="52" t="s">
        <v>234</v>
      </c>
    </row>
    <row r="27" spans="1:4">
      <c r="C27" s="52" t="s">
        <v>173</v>
      </c>
      <c r="D27" s="52" t="s">
        <v>235</v>
      </c>
    </row>
    <row r="28" spans="1:4">
      <c r="C28" s="52" t="s">
        <v>174</v>
      </c>
      <c r="D28" s="52" t="s">
        <v>236</v>
      </c>
    </row>
    <row r="29" spans="1:4">
      <c r="C29" s="52" t="s">
        <v>175</v>
      </c>
      <c r="D29" s="52" t="s">
        <v>237</v>
      </c>
    </row>
    <row r="30" spans="1:4">
      <c r="C30" s="52" t="s">
        <v>176</v>
      </c>
      <c r="D30" s="52" t="s">
        <v>238</v>
      </c>
    </row>
    <row r="31" spans="1:4">
      <c r="C31" s="52" t="s">
        <v>177</v>
      </c>
      <c r="D31" s="52" t="s">
        <v>239</v>
      </c>
    </row>
    <row r="32" spans="1:4">
      <c r="C32" s="52" t="s">
        <v>178</v>
      </c>
      <c r="D32" s="52" t="s">
        <v>240</v>
      </c>
    </row>
    <row r="33" spans="3:4">
      <c r="C33" s="52" t="s">
        <v>179</v>
      </c>
      <c r="D33" s="52" t="s">
        <v>241</v>
      </c>
    </row>
    <row r="34" spans="3:4">
      <c r="C34" s="52" t="s">
        <v>180</v>
      </c>
      <c r="D34" s="52" t="s">
        <v>242</v>
      </c>
    </row>
    <row r="35" spans="3:4">
      <c r="C35" s="52" t="s">
        <v>181</v>
      </c>
      <c r="D35" s="52" t="s">
        <v>243</v>
      </c>
    </row>
    <row r="36" spans="3:4">
      <c r="C36" s="52" t="s">
        <v>182</v>
      </c>
      <c r="D36" s="52" t="s">
        <v>244</v>
      </c>
    </row>
    <row r="37" spans="3:4">
      <c r="C37" s="52" t="s">
        <v>183</v>
      </c>
      <c r="D37" s="52" t="s">
        <v>245</v>
      </c>
    </row>
    <row r="38" spans="3:4">
      <c r="C38" s="52" t="s">
        <v>184</v>
      </c>
      <c r="D38" s="52" t="s">
        <v>246</v>
      </c>
    </row>
    <row r="39" spans="3:4">
      <c r="C39" s="52" t="s">
        <v>185</v>
      </c>
      <c r="D39" s="52" t="s">
        <v>247</v>
      </c>
    </row>
    <row r="40" spans="3:4">
      <c r="C40" s="52" t="s">
        <v>186</v>
      </c>
      <c r="D40" s="52" t="s">
        <v>248</v>
      </c>
    </row>
    <row r="41" spans="3:4">
      <c r="C41" s="52" t="s">
        <v>187</v>
      </c>
      <c r="D41" s="52" t="s">
        <v>249</v>
      </c>
    </row>
    <row r="42" spans="3:4">
      <c r="C42" s="52" t="s">
        <v>188</v>
      </c>
      <c r="D42" s="52" t="s">
        <v>250</v>
      </c>
    </row>
    <row r="43" spans="3:4">
      <c r="C43" s="52" t="s">
        <v>189</v>
      </c>
      <c r="D43" s="52" t="s">
        <v>251</v>
      </c>
    </row>
    <row r="44" spans="3:4">
      <c r="C44" s="52" t="s">
        <v>190</v>
      </c>
      <c r="D44" s="52" t="s">
        <v>252</v>
      </c>
    </row>
    <row r="45" spans="3:4">
      <c r="C45" s="52" t="s">
        <v>191</v>
      </c>
      <c r="D45" s="52" t="s">
        <v>253</v>
      </c>
    </row>
    <row r="46" spans="3:4">
      <c r="C46" s="52" t="s">
        <v>192</v>
      </c>
      <c r="D46" s="52" t="s">
        <v>254</v>
      </c>
    </row>
    <row r="47" spans="3:4">
      <c r="C47" s="52" t="s">
        <v>193</v>
      </c>
      <c r="D47" s="52" t="s">
        <v>255</v>
      </c>
    </row>
    <row r="48" spans="3:4">
      <c r="C48" s="52" t="s">
        <v>194</v>
      </c>
      <c r="D48" s="52" t="s">
        <v>256</v>
      </c>
    </row>
    <row r="49" spans="3:4">
      <c r="C49" s="52" t="s">
        <v>195</v>
      </c>
      <c r="D49" s="52" t="s">
        <v>257</v>
      </c>
    </row>
    <row r="50" spans="3:4">
      <c r="C50" s="52" t="s">
        <v>196</v>
      </c>
      <c r="D50" s="52" t="s">
        <v>258</v>
      </c>
    </row>
    <row r="51" spans="3:4">
      <c r="C51" s="52" t="s">
        <v>197</v>
      </c>
      <c r="D51" s="52" t="s">
        <v>259</v>
      </c>
    </row>
    <row r="52" spans="3:4">
      <c r="C52" s="52" t="s">
        <v>198</v>
      </c>
      <c r="D52" s="52" t="s">
        <v>260</v>
      </c>
    </row>
    <row r="53" spans="3:4">
      <c r="C53" s="52" t="s">
        <v>199</v>
      </c>
      <c r="D53" s="52" t="s">
        <v>261</v>
      </c>
    </row>
    <row r="54" spans="3:4">
      <c r="C54" s="52" t="s">
        <v>200</v>
      </c>
      <c r="D54" s="52" t="s">
        <v>262</v>
      </c>
    </row>
    <row r="55" spans="3:4">
      <c r="C55" s="52" t="s">
        <v>201</v>
      </c>
      <c r="D55" s="52" t="s">
        <v>263</v>
      </c>
    </row>
    <row r="56" spans="3:4">
      <c r="C56" s="52" t="s">
        <v>202</v>
      </c>
      <c r="D56" s="52" t="s">
        <v>264</v>
      </c>
    </row>
    <row r="57" spans="3:4">
      <c r="C57" s="52" t="s">
        <v>203</v>
      </c>
      <c r="D57" s="52" t="s">
        <v>265</v>
      </c>
    </row>
    <row r="58" spans="3:4">
      <c r="C58" s="52" t="s">
        <v>204</v>
      </c>
      <c r="D58" s="52" t="s">
        <v>266</v>
      </c>
    </row>
    <row r="59" spans="3:4">
      <c r="C59" s="52" t="s">
        <v>205</v>
      </c>
      <c r="D59" s="52" t="s">
        <v>267</v>
      </c>
    </row>
    <row r="60" spans="3:4">
      <c r="C60" s="52" t="s">
        <v>206</v>
      </c>
      <c r="D60" s="52" t="s">
        <v>268</v>
      </c>
    </row>
    <row r="61" spans="3:4">
      <c r="C61" s="52" t="s">
        <v>207</v>
      </c>
      <c r="D61" s="52" t="s">
        <v>269</v>
      </c>
    </row>
    <row r="62" spans="3:4">
      <c r="C62" s="52" t="s">
        <v>208</v>
      </c>
      <c r="D62" s="52" t="s">
        <v>270</v>
      </c>
    </row>
    <row r="63" spans="3:4">
      <c r="C63" s="52" t="s">
        <v>209</v>
      </c>
      <c r="D63" s="52" t="s">
        <v>271</v>
      </c>
    </row>
    <row r="64" spans="3:4">
      <c r="C64" s="52" t="s">
        <v>210</v>
      </c>
      <c r="D64" s="52" t="s">
        <v>272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C21D-58EA-C34C-9A0A-88CA8371F05D}">
  <dimension ref="A1:O129"/>
  <sheetViews>
    <sheetView topLeftCell="G1" zoomScale="141" workbookViewId="0">
      <selection activeCell="O26" sqref="O26"/>
    </sheetView>
  </sheetViews>
  <sheetFormatPr baseColWidth="10" defaultRowHeight="16"/>
  <cols>
    <col min="1" max="1" width="10.83203125" customWidth="1"/>
    <col min="2" max="2" width="25.83203125" customWidth="1"/>
    <col min="3" max="3" width="31.1640625" customWidth="1"/>
    <col min="12" max="13" width="37" customWidth="1"/>
    <col min="14" max="14" width="37.83203125" customWidth="1"/>
    <col min="15" max="15" width="37" customWidth="1"/>
  </cols>
  <sheetData>
    <row r="1" spans="1:15">
      <c r="A1" s="92" t="s">
        <v>83</v>
      </c>
      <c r="B1" s="92"/>
      <c r="C1" s="92"/>
      <c r="L1" t="s">
        <v>98</v>
      </c>
    </row>
    <row r="2" spans="1:15">
      <c r="A2" s="55" t="s">
        <v>72</v>
      </c>
      <c r="B2" s="55" t="s">
        <v>74</v>
      </c>
      <c r="C2" s="56" t="s">
        <v>76</v>
      </c>
      <c r="L2" t="s">
        <v>99</v>
      </c>
      <c r="M2" t="s">
        <v>100</v>
      </c>
      <c r="N2" t="s">
        <v>101</v>
      </c>
      <c r="O2" t="s">
        <v>102</v>
      </c>
    </row>
    <row r="3" spans="1:15">
      <c r="A3" s="56">
        <v>7871</v>
      </c>
      <c r="B3" s="57">
        <v>646.83151006971696</v>
      </c>
      <c r="C3" s="56">
        <v>647</v>
      </c>
    </row>
    <row r="4" spans="1:15">
      <c r="A4" s="56">
        <v>845</v>
      </c>
      <c r="B4" s="54">
        <v>129.95395474635299</v>
      </c>
      <c r="C4" s="56">
        <v>130</v>
      </c>
    </row>
    <row r="5" spans="1:15">
      <c r="A5" s="56">
        <v>2330</v>
      </c>
      <c r="B5" s="57">
        <v>254.023313215999</v>
      </c>
      <c r="C5" s="56">
        <v>254</v>
      </c>
    </row>
    <row r="6" spans="1:15">
      <c r="A6" s="56">
        <v>21272</v>
      </c>
      <c r="B6" s="57">
        <v>1056.43957986501</v>
      </c>
      <c r="C6" s="56">
        <v>1056</v>
      </c>
    </row>
    <row r="7" spans="1:15">
      <c r="A7" s="56">
        <v>4224</v>
      </c>
      <c r="B7" s="57">
        <v>383.25147969895698</v>
      </c>
      <c r="C7" s="56">
        <v>383</v>
      </c>
    </row>
    <row r="8" spans="1:15">
      <c r="A8" s="56">
        <v>2826</v>
      </c>
      <c r="B8" s="57">
        <v>488.56729520112299</v>
      </c>
      <c r="C8" s="56">
        <v>345</v>
      </c>
    </row>
    <row r="9" spans="1:15">
      <c r="A9" s="56">
        <v>7320</v>
      </c>
      <c r="B9" s="57">
        <v>844.89406279341802</v>
      </c>
      <c r="C9" s="56">
        <v>209</v>
      </c>
    </row>
    <row r="10" spans="1:15">
      <c r="A10" s="56">
        <v>9125</v>
      </c>
      <c r="B10" s="57">
        <v>1030.7606993433301</v>
      </c>
      <c r="C10" s="56">
        <v>366</v>
      </c>
    </row>
    <row r="11" spans="1:15">
      <c r="A11" s="56">
        <v>11900</v>
      </c>
      <c r="B11" s="57">
        <v>1180.7281013700299</v>
      </c>
      <c r="C11" s="56">
        <v>1181</v>
      </c>
    </row>
    <row r="12" spans="1:15">
      <c r="A12" s="56">
        <v>4300</v>
      </c>
      <c r="B12" s="57">
        <v>479.93807599412099</v>
      </c>
      <c r="C12" s="56">
        <v>181</v>
      </c>
    </row>
    <row r="13" spans="1:15">
      <c r="A13" s="56">
        <v>4150</v>
      </c>
      <c r="B13" s="57">
        <v>735.23100709680205</v>
      </c>
      <c r="C13" s="56">
        <v>739</v>
      </c>
    </row>
    <row r="14" spans="1:15">
      <c r="A14" s="56">
        <v>900</v>
      </c>
      <c r="B14" s="57">
        <v>108.02470803881999</v>
      </c>
      <c r="C14" s="56">
        <v>108</v>
      </c>
    </row>
    <row r="15" spans="1:15">
      <c r="A15" s="56">
        <v>583</v>
      </c>
      <c r="B15" s="57">
        <v>114.199904630216</v>
      </c>
      <c r="C15" s="56">
        <v>48</v>
      </c>
    </row>
    <row r="16" spans="1:15">
      <c r="A16" s="56">
        <v>2565</v>
      </c>
      <c r="B16" s="57">
        <v>275.52638612441098</v>
      </c>
      <c r="C16" s="56">
        <v>249</v>
      </c>
    </row>
    <row r="17" spans="1:3">
      <c r="A17" s="56">
        <v>4047</v>
      </c>
      <c r="B17" s="57">
        <v>371.02563561209399</v>
      </c>
      <c r="C17" s="56">
        <v>371</v>
      </c>
    </row>
    <row r="18" spans="1:3">
      <c r="A18" s="56">
        <v>1520</v>
      </c>
      <c r="B18" s="57">
        <v>211.54832325580199</v>
      </c>
      <c r="C18" s="56">
        <v>211</v>
      </c>
    </row>
    <row r="19" spans="1:3">
      <c r="A19" s="56">
        <v>25910</v>
      </c>
      <c r="B19" s="57">
        <v>1849.42099662384</v>
      </c>
      <c r="C19" s="56">
        <v>1849</v>
      </c>
    </row>
    <row r="20" spans="1:3">
      <c r="A20" s="56">
        <v>37286</v>
      </c>
      <c r="B20" s="57">
        <v>2479.7645828024401</v>
      </c>
      <c r="C20" s="56">
        <v>2482</v>
      </c>
    </row>
    <row r="21" spans="1:3">
      <c r="A21" s="56">
        <v>15052</v>
      </c>
      <c r="B21" s="57">
        <v>919.48346884938098</v>
      </c>
      <c r="C21" s="56">
        <v>434</v>
      </c>
    </row>
    <row r="22" spans="1:3">
      <c r="A22" s="56">
        <v>11039</v>
      </c>
      <c r="B22" s="57">
        <v>883.18986862215104</v>
      </c>
      <c r="C22" s="56">
        <v>292</v>
      </c>
    </row>
    <row r="23" spans="1:3">
      <c r="A23" s="56">
        <v>18500</v>
      </c>
      <c r="B23" s="57">
        <v>2953.9568771911399</v>
      </c>
      <c r="C23" s="56">
        <v>2954</v>
      </c>
    </row>
    <row r="24" spans="1:3">
      <c r="A24" s="56">
        <v>9369</v>
      </c>
      <c r="B24" s="57">
        <v>414.199386996805</v>
      </c>
      <c r="C24" s="56">
        <v>304</v>
      </c>
    </row>
    <row r="25" spans="1:3">
      <c r="A25" s="56">
        <v>7184</v>
      </c>
      <c r="B25" s="57">
        <v>680.39177022519902</v>
      </c>
      <c r="C25" s="56">
        <v>353</v>
      </c>
    </row>
    <row r="26" spans="1:3">
      <c r="A26" s="56">
        <v>10447</v>
      </c>
      <c r="B26" s="57">
        <v>904.81614759265699</v>
      </c>
      <c r="C26" s="56">
        <v>567</v>
      </c>
    </row>
    <row r="27" spans="1:3">
      <c r="A27" s="56">
        <v>5100</v>
      </c>
      <c r="B27" s="57">
        <v>535.77565118810696</v>
      </c>
      <c r="C27" s="56">
        <v>467</v>
      </c>
    </row>
    <row r="28" spans="1:3">
      <c r="A28" s="56">
        <v>63694</v>
      </c>
      <c r="B28" s="57">
        <v>3368.06104145472</v>
      </c>
      <c r="C28" s="56">
        <v>3368</v>
      </c>
    </row>
    <row r="29" spans="1:3">
      <c r="A29" s="56">
        <v>1651</v>
      </c>
      <c r="B29" s="57">
        <v>253.08465119687199</v>
      </c>
      <c r="C29" s="56">
        <v>253</v>
      </c>
    </row>
    <row r="30" spans="1:3">
      <c r="A30" s="56">
        <v>1450</v>
      </c>
      <c r="B30" s="57">
        <v>196.058294492268</v>
      </c>
      <c r="C30" s="56">
        <v>196</v>
      </c>
    </row>
    <row r="31" spans="1:3">
      <c r="A31" s="56">
        <v>1745</v>
      </c>
      <c r="B31" s="57">
        <v>219.699915634771</v>
      </c>
      <c r="C31" s="56">
        <v>185</v>
      </c>
    </row>
    <row r="32" spans="1:3">
      <c r="A32" s="56">
        <v>1798</v>
      </c>
      <c r="B32" s="57">
        <v>387.04089250512402</v>
      </c>
      <c r="C32" s="56">
        <v>387</v>
      </c>
    </row>
    <row r="33" spans="1:3">
      <c r="A33" s="56">
        <v>2957</v>
      </c>
      <c r="B33" s="57">
        <v>430.17924022545702</v>
      </c>
      <c r="C33" s="56">
        <v>430</v>
      </c>
    </row>
    <row r="34" spans="1:3">
      <c r="A34" s="56">
        <v>963</v>
      </c>
      <c r="B34" s="57">
        <v>204.01914937184301</v>
      </c>
      <c r="C34" s="56">
        <v>204</v>
      </c>
    </row>
    <row r="35" spans="1:3">
      <c r="A35" s="56">
        <v>1233</v>
      </c>
      <c r="B35" s="57">
        <v>92.692998860935504</v>
      </c>
      <c r="C35" s="56">
        <v>71</v>
      </c>
    </row>
    <row r="36" spans="1:3">
      <c r="A36" s="56">
        <v>3240</v>
      </c>
      <c r="B36" s="57">
        <v>839.99823121594397</v>
      </c>
      <c r="C36" s="56">
        <v>840</v>
      </c>
    </row>
    <row r="37" spans="1:3">
      <c r="A37" s="56">
        <v>10000</v>
      </c>
      <c r="B37" s="57">
        <v>1648.0457990004199</v>
      </c>
      <c r="C37" s="56">
        <v>1648</v>
      </c>
    </row>
    <row r="38" spans="1:3">
      <c r="A38" s="56">
        <v>6800</v>
      </c>
      <c r="B38" s="57">
        <v>1034.88948247449</v>
      </c>
      <c r="C38" s="56">
        <v>1035</v>
      </c>
    </row>
    <row r="39" spans="1:3">
      <c r="A39" s="56">
        <v>3850</v>
      </c>
      <c r="B39" s="57">
        <v>547.87800346413997</v>
      </c>
      <c r="C39" s="56">
        <v>548</v>
      </c>
    </row>
    <row r="40" spans="1:3">
      <c r="A40" s="56">
        <v>14000</v>
      </c>
      <c r="B40" s="57">
        <v>3412.00440805577</v>
      </c>
      <c r="C40" s="56">
        <v>2054</v>
      </c>
    </row>
    <row r="41" spans="1:3">
      <c r="A41" s="56">
        <v>5787</v>
      </c>
      <c r="B41" s="57">
        <v>1734.0391255895599</v>
      </c>
      <c r="C41" s="56">
        <v>302</v>
      </c>
    </row>
    <row r="42" spans="1:3">
      <c r="A42" s="56">
        <v>9700</v>
      </c>
      <c r="B42" s="57">
        <v>2762.7875518072901</v>
      </c>
      <c r="C42" s="56">
        <v>1172</v>
      </c>
    </row>
    <row r="43" spans="1:3">
      <c r="A43" s="56">
        <v>1100</v>
      </c>
      <c r="B43" s="57">
        <v>504.292752897941</v>
      </c>
      <c r="C43" s="56">
        <v>253</v>
      </c>
    </row>
    <row r="44" spans="1:3">
      <c r="A44" s="56">
        <v>5578</v>
      </c>
      <c r="B44" s="57">
        <v>1856.8167915372901</v>
      </c>
      <c r="C44" s="56">
        <v>227</v>
      </c>
    </row>
    <row r="45" spans="1:3">
      <c r="A45" s="56">
        <v>1060</v>
      </c>
      <c r="B45" s="57">
        <v>468.891472826572</v>
      </c>
      <c r="C45" s="56">
        <v>59</v>
      </c>
    </row>
    <row r="46" spans="1:3">
      <c r="A46" s="56">
        <v>5279</v>
      </c>
      <c r="B46" s="57">
        <v>2569.8673176157299</v>
      </c>
      <c r="C46" s="56">
        <v>299</v>
      </c>
    </row>
    <row r="47" spans="1:3">
      <c r="A47" s="56">
        <v>8117</v>
      </c>
      <c r="B47" s="57">
        <v>3101.4175465573198</v>
      </c>
      <c r="C47" s="56">
        <v>422</v>
      </c>
    </row>
    <row r="48" spans="1:3">
      <c r="A48" s="56">
        <v>8710</v>
      </c>
      <c r="B48" s="57">
        <v>3712.8771124370801</v>
      </c>
      <c r="C48" s="56">
        <v>1058</v>
      </c>
    </row>
    <row r="49" spans="1:3">
      <c r="A49" s="56">
        <v>796</v>
      </c>
      <c r="B49" s="57">
        <v>340.71462499212203</v>
      </c>
      <c r="C49" s="56">
        <v>65</v>
      </c>
    </row>
    <row r="50" spans="1:3">
      <c r="A50" s="56">
        <v>11023</v>
      </c>
      <c r="B50" s="57">
        <v>3769.36500564775</v>
      </c>
      <c r="C50" s="56">
        <v>390</v>
      </c>
    </row>
    <row r="51" spans="1:3">
      <c r="A51" s="56">
        <v>1755</v>
      </c>
      <c r="B51" s="57">
        <v>608.23445419751499</v>
      </c>
      <c r="C51" s="56">
        <v>193</v>
      </c>
    </row>
    <row r="52" spans="1:3">
      <c r="A52" s="56">
        <v>5931</v>
      </c>
      <c r="B52" s="57">
        <v>1525.5359891299099</v>
      </c>
      <c r="C52" s="56">
        <v>1526</v>
      </c>
    </row>
    <row r="53" spans="1:3">
      <c r="A53" s="56">
        <v>4456</v>
      </c>
      <c r="B53" s="57">
        <v>1766.4881066898199</v>
      </c>
      <c r="C53" s="56">
        <v>575</v>
      </c>
    </row>
    <row r="54" spans="1:3">
      <c r="A54" s="56">
        <v>3600</v>
      </c>
      <c r="B54" s="57">
        <v>1251.27461339964</v>
      </c>
      <c r="C54" s="56">
        <v>509</v>
      </c>
    </row>
    <row r="55" spans="1:3">
      <c r="A55" s="56">
        <v>4557</v>
      </c>
      <c r="B55" s="57">
        <v>1663.41988842725</v>
      </c>
      <c r="C55" s="56">
        <v>583</v>
      </c>
    </row>
    <row r="56" spans="1:3">
      <c r="A56" s="56">
        <v>8752</v>
      </c>
      <c r="B56" s="57">
        <v>2634.4385012405901</v>
      </c>
      <c r="C56" s="56">
        <v>315</v>
      </c>
    </row>
    <row r="57" spans="1:3">
      <c r="A57" s="56">
        <v>3440</v>
      </c>
      <c r="B57" s="57">
        <v>1198.2094545611001</v>
      </c>
      <c r="C57" s="56">
        <v>138</v>
      </c>
    </row>
    <row r="58" spans="1:3">
      <c r="A58" s="56">
        <v>1981</v>
      </c>
      <c r="B58" s="57">
        <v>804.29811850333101</v>
      </c>
      <c r="C58" s="56">
        <v>257</v>
      </c>
    </row>
    <row r="59" spans="1:3">
      <c r="A59" s="56">
        <v>13700</v>
      </c>
      <c r="B59" s="57">
        <v>3241.3470199496401</v>
      </c>
      <c r="C59" s="56">
        <v>423</v>
      </c>
    </row>
    <row r="60" spans="1:3">
      <c r="A60" s="56">
        <v>7105</v>
      </c>
      <c r="B60" s="57">
        <v>2598.0874125471701</v>
      </c>
      <c r="C60" s="56">
        <v>495</v>
      </c>
    </row>
    <row r="61" spans="1:3">
      <c r="A61" s="56">
        <v>6816</v>
      </c>
      <c r="B61" s="57">
        <v>2036.7849664718699</v>
      </c>
      <c r="C61" s="56">
        <v>622</v>
      </c>
    </row>
    <row r="62" spans="1:3">
      <c r="A62" s="56">
        <v>4620</v>
      </c>
      <c r="B62" s="57">
        <v>1458.23606500356</v>
      </c>
      <c r="C62" s="56">
        <v>204</v>
      </c>
    </row>
    <row r="63" spans="1:3">
      <c r="A63" s="56">
        <v>7451</v>
      </c>
      <c r="B63" s="57">
        <v>2435.01161808282</v>
      </c>
      <c r="C63" s="56">
        <v>616</v>
      </c>
    </row>
    <row r="64" spans="1:3">
      <c r="A64" s="56">
        <v>39479</v>
      </c>
      <c r="B64" s="57">
        <v>8704.0850160253995</v>
      </c>
      <c r="C64" s="56">
        <v>3643</v>
      </c>
    </row>
    <row r="66" spans="1:3">
      <c r="A66" s="91" t="s">
        <v>82</v>
      </c>
      <c r="B66" s="91"/>
      <c r="C66" s="91"/>
    </row>
    <row r="67" spans="1:3">
      <c r="A67" s="55" t="s">
        <v>72</v>
      </c>
      <c r="B67" s="55" t="s">
        <v>74</v>
      </c>
      <c r="C67" s="56" t="s">
        <v>76</v>
      </c>
    </row>
    <row r="68" spans="1:3">
      <c r="A68" s="56">
        <v>7871</v>
      </c>
      <c r="B68" s="57">
        <v>6461.6741277888204</v>
      </c>
      <c r="C68" s="56">
        <v>647</v>
      </c>
    </row>
    <row r="69" spans="1:3">
      <c r="A69" s="56">
        <v>845</v>
      </c>
      <c r="B69" s="54">
        <v>635.08677400087004</v>
      </c>
      <c r="C69" s="56">
        <v>130</v>
      </c>
    </row>
    <row r="70" spans="1:3">
      <c r="A70" s="56">
        <v>2330</v>
      </c>
      <c r="B70" s="57">
        <v>1823.7314970384</v>
      </c>
      <c r="C70" s="56">
        <v>254</v>
      </c>
    </row>
    <row r="71" spans="1:3">
      <c r="A71" s="56">
        <v>21272</v>
      </c>
      <c r="B71" s="57">
        <v>14667.997397263</v>
      </c>
      <c r="C71" s="56">
        <v>1056</v>
      </c>
    </row>
    <row r="72" spans="1:3">
      <c r="A72" s="56">
        <v>4224</v>
      </c>
      <c r="B72" s="57">
        <v>3173.91607923419</v>
      </c>
      <c r="C72" s="56">
        <v>383</v>
      </c>
    </row>
    <row r="73" spans="1:3">
      <c r="A73" s="56">
        <v>2826</v>
      </c>
      <c r="B73" s="57">
        <v>1841.5970589389799</v>
      </c>
      <c r="C73" s="56">
        <v>345</v>
      </c>
    </row>
    <row r="74" spans="1:3">
      <c r="A74" s="56">
        <v>7320</v>
      </c>
      <c r="B74" s="57">
        <v>4607.1151247216103</v>
      </c>
      <c r="C74" s="56">
        <v>209</v>
      </c>
    </row>
    <row r="75" spans="1:3">
      <c r="A75" s="56">
        <v>9125</v>
      </c>
      <c r="B75" s="57">
        <v>5153.1027651958002</v>
      </c>
      <c r="C75" s="56">
        <v>366</v>
      </c>
    </row>
    <row r="76" spans="1:3">
      <c r="A76" s="56">
        <v>11900</v>
      </c>
      <c r="B76" s="57">
        <v>9653.6423935661296</v>
      </c>
      <c r="C76" s="56">
        <v>1181</v>
      </c>
    </row>
    <row r="77" spans="1:3">
      <c r="A77" s="56">
        <v>4300</v>
      </c>
      <c r="B77" s="57">
        <v>2983.5057358736399</v>
      </c>
      <c r="C77" s="56">
        <v>181</v>
      </c>
    </row>
    <row r="78" spans="1:3">
      <c r="A78" s="56">
        <v>4150</v>
      </c>
      <c r="B78" s="57">
        <v>3001.2859893478098</v>
      </c>
      <c r="C78" s="56">
        <v>739</v>
      </c>
    </row>
    <row r="79" spans="1:3">
      <c r="A79" s="56">
        <v>900</v>
      </c>
      <c r="B79" s="57">
        <v>737.56746138294</v>
      </c>
      <c r="C79" s="56">
        <v>108</v>
      </c>
    </row>
    <row r="80" spans="1:3">
      <c r="A80" s="56">
        <v>583</v>
      </c>
      <c r="B80" s="57">
        <v>403.17773067881302</v>
      </c>
      <c r="C80" s="56">
        <v>48</v>
      </c>
    </row>
    <row r="81" spans="1:3">
      <c r="A81" s="56">
        <v>2565</v>
      </c>
      <c r="B81" s="57">
        <v>2006.8297096336</v>
      </c>
      <c r="C81" s="56">
        <v>249</v>
      </c>
    </row>
    <row r="82" spans="1:3">
      <c r="A82" s="56">
        <v>4047</v>
      </c>
      <c r="B82" s="57">
        <v>2455.53860967542</v>
      </c>
      <c r="C82" s="56">
        <v>371</v>
      </c>
    </row>
    <row r="83" spans="1:3">
      <c r="A83" s="56">
        <v>1520</v>
      </c>
      <c r="B83" s="57">
        <v>1101.4790038343599</v>
      </c>
      <c r="C83" s="56">
        <v>211</v>
      </c>
    </row>
    <row r="84" spans="1:3">
      <c r="A84" s="56">
        <v>25910</v>
      </c>
      <c r="B84" s="57">
        <v>19360.267485285302</v>
      </c>
      <c r="C84" s="56">
        <v>1849</v>
      </c>
    </row>
    <row r="85" spans="1:3">
      <c r="A85" s="56">
        <v>37286</v>
      </c>
      <c r="B85" s="57">
        <v>24373.308048367198</v>
      </c>
      <c r="C85" s="56">
        <v>2482</v>
      </c>
    </row>
    <row r="86" spans="1:3">
      <c r="A86" s="56">
        <v>15052</v>
      </c>
      <c r="B86" s="57">
        <v>9305.2509688486298</v>
      </c>
      <c r="C86" s="56">
        <v>434</v>
      </c>
    </row>
    <row r="87" spans="1:3">
      <c r="A87" s="56">
        <v>11039</v>
      </c>
      <c r="B87" s="57">
        <v>8960.3702136470092</v>
      </c>
      <c r="C87" s="56">
        <v>292</v>
      </c>
    </row>
    <row r="88" spans="1:3">
      <c r="A88" s="56">
        <v>18500</v>
      </c>
      <c r="B88" s="57">
        <v>14929.927783663299</v>
      </c>
      <c r="C88" s="56">
        <v>2954</v>
      </c>
    </row>
    <row r="89" spans="1:3">
      <c r="A89" s="56">
        <v>9369</v>
      </c>
      <c r="B89" s="57">
        <v>6624.1989126829903</v>
      </c>
      <c r="C89" s="56">
        <v>304</v>
      </c>
    </row>
    <row r="90" spans="1:3">
      <c r="A90" s="56">
        <v>7184</v>
      </c>
      <c r="B90" s="57">
        <v>5932.9073886132501</v>
      </c>
      <c r="C90" s="56">
        <v>353</v>
      </c>
    </row>
    <row r="91" spans="1:3">
      <c r="A91" s="56">
        <v>10447</v>
      </c>
      <c r="B91" s="57">
        <v>8099.0881059731901</v>
      </c>
      <c r="C91" s="56">
        <v>567</v>
      </c>
    </row>
    <row r="92" spans="1:3">
      <c r="A92" s="56">
        <v>5100</v>
      </c>
      <c r="B92" s="57">
        <v>3370.49427624793</v>
      </c>
      <c r="C92" s="56">
        <v>467</v>
      </c>
    </row>
    <row r="93" spans="1:3">
      <c r="A93" s="56">
        <v>63694</v>
      </c>
      <c r="B93" s="57">
        <v>37146.7604118487</v>
      </c>
      <c r="C93" s="56">
        <v>3368</v>
      </c>
    </row>
    <row r="94" spans="1:3">
      <c r="A94" s="56">
        <v>1651</v>
      </c>
      <c r="B94" s="57">
        <v>1273.8222501191101</v>
      </c>
      <c r="C94" s="56">
        <v>253</v>
      </c>
    </row>
    <row r="95" spans="1:3">
      <c r="A95" s="56">
        <v>1450</v>
      </c>
      <c r="B95" s="57">
        <v>1113.7154383741399</v>
      </c>
      <c r="C95" s="56">
        <v>196</v>
      </c>
    </row>
    <row r="96" spans="1:3">
      <c r="A96" s="56">
        <v>1745</v>
      </c>
      <c r="B96" s="57">
        <v>1429.09783433143</v>
      </c>
      <c r="C96" s="56">
        <v>185</v>
      </c>
    </row>
    <row r="97" spans="1:3">
      <c r="A97" s="56">
        <v>1798</v>
      </c>
      <c r="B97" s="57">
        <v>1210.1159216584899</v>
      </c>
      <c r="C97" s="56">
        <v>387</v>
      </c>
    </row>
    <row r="98" spans="1:3">
      <c r="A98" s="56">
        <v>2957</v>
      </c>
      <c r="B98" s="57">
        <v>2332.52685276579</v>
      </c>
      <c r="C98" s="56">
        <v>430</v>
      </c>
    </row>
    <row r="99" spans="1:3">
      <c r="A99" s="56">
        <v>963</v>
      </c>
      <c r="B99" s="57">
        <v>762.87638837264399</v>
      </c>
      <c r="C99" s="56">
        <v>204</v>
      </c>
    </row>
    <row r="100" spans="1:3">
      <c r="A100" s="56">
        <v>1233</v>
      </c>
      <c r="B100" s="57">
        <v>934.80819489824501</v>
      </c>
      <c r="C100" s="56">
        <v>71</v>
      </c>
    </row>
    <row r="101" spans="1:3">
      <c r="A101" s="56">
        <v>3240</v>
      </c>
      <c r="B101" s="57">
        <v>2407.9716849925599</v>
      </c>
      <c r="C101" s="56">
        <v>840</v>
      </c>
    </row>
    <row r="102" spans="1:3">
      <c r="A102" s="56">
        <v>10000</v>
      </c>
      <c r="B102" s="57">
        <v>6980.3854919850801</v>
      </c>
      <c r="C102" s="56">
        <v>1648</v>
      </c>
    </row>
    <row r="103" spans="1:3">
      <c r="A103" s="56">
        <v>6800</v>
      </c>
      <c r="B103" s="57">
        <v>4599.1112675576696</v>
      </c>
      <c r="C103" s="56">
        <v>1035</v>
      </c>
    </row>
    <row r="104" spans="1:3">
      <c r="A104" s="56">
        <v>3850</v>
      </c>
      <c r="B104" s="57">
        <v>2855.9761080119201</v>
      </c>
      <c r="C104" s="56">
        <v>548</v>
      </c>
    </row>
    <row r="105" spans="1:3">
      <c r="A105" s="56">
        <v>14000</v>
      </c>
      <c r="B105" s="57">
        <v>11282.714400078001</v>
      </c>
      <c r="C105" s="56">
        <v>2054</v>
      </c>
    </row>
    <row r="106" spans="1:3">
      <c r="A106" s="56">
        <v>5787</v>
      </c>
      <c r="B106" s="57">
        <v>5236.6614090924604</v>
      </c>
      <c r="C106" s="56">
        <v>302</v>
      </c>
    </row>
    <row r="107" spans="1:3">
      <c r="A107" s="56">
        <v>9700</v>
      </c>
      <c r="B107" s="57">
        <v>8260.8979948465003</v>
      </c>
      <c r="C107" s="56">
        <v>1172</v>
      </c>
    </row>
    <row r="108" spans="1:3">
      <c r="A108" s="56">
        <v>1100</v>
      </c>
      <c r="B108" s="57">
        <v>986.54827105264496</v>
      </c>
      <c r="C108" s="56">
        <v>253</v>
      </c>
    </row>
    <row r="109" spans="1:3">
      <c r="A109" s="56">
        <v>5578</v>
      </c>
      <c r="B109" s="57">
        <v>4653.4179276913601</v>
      </c>
      <c r="C109" s="56">
        <v>227</v>
      </c>
    </row>
    <row r="110" spans="1:3">
      <c r="A110" s="56">
        <v>1060</v>
      </c>
      <c r="B110" s="57">
        <v>979.00117418052196</v>
      </c>
      <c r="C110" s="56">
        <v>59</v>
      </c>
    </row>
    <row r="111" spans="1:3">
      <c r="A111" s="56">
        <v>5279</v>
      </c>
      <c r="B111" s="57">
        <v>4792.3237153946802</v>
      </c>
      <c r="C111" s="56">
        <v>299</v>
      </c>
    </row>
    <row r="112" spans="1:3">
      <c r="A112" s="56">
        <v>8117</v>
      </c>
      <c r="B112" s="57">
        <v>6958.4667824941798</v>
      </c>
      <c r="C112" s="56">
        <v>422</v>
      </c>
    </row>
    <row r="113" spans="1:3">
      <c r="A113" s="56">
        <v>8710</v>
      </c>
      <c r="B113" s="57">
        <v>7746.8801023932001</v>
      </c>
      <c r="C113" s="56">
        <v>1058</v>
      </c>
    </row>
    <row r="114" spans="1:3">
      <c r="A114" s="56">
        <v>796</v>
      </c>
      <c r="B114" s="57">
        <v>705.33117380339502</v>
      </c>
      <c r="C114" s="56">
        <v>65</v>
      </c>
    </row>
    <row r="115" spans="1:3">
      <c r="A115" s="56">
        <v>11023</v>
      </c>
      <c r="B115" s="57">
        <v>9274.9357432111301</v>
      </c>
      <c r="C115" s="56">
        <v>390</v>
      </c>
    </row>
    <row r="116" spans="1:3">
      <c r="A116" s="56">
        <v>1755</v>
      </c>
      <c r="B116" s="57">
        <v>1500.0190818963299</v>
      </c>
      <c r="C116" s="56">
        <v>193</v>
      </c>
    </row>
    <row r="117" spans="1:3">
      <c r="A117" s="56">
        <v>5931</v>
      </c>
      <c r="B117" s="57">
        <v>5394.6407167615898</v>
      </c>
      <c r="C117" s="56">
        <v>1526</v>
      </c>
    </row>
    <row r="118" spans="1:3">
      <c r="A118" s="56">
        <v>4456</v>
      </c>
      <c r="B118" s="57">
        <v>3921.6654813840801</v>
      </c>
      <c r="C118" s="56">
        <v>575</v>
      </c>
    </row>
    <row r="119" spans="1:3">
      <c r="A119" s="56">
        <v>3600</v>
      </c>
      <c r="B119" s="57">
        <v>2955.7283226937302</v>
      </c>
      <c r="C119" s="56">
        <v>509</v>
      </c>
    </row>
    <row r="120" spans="1:3">
      <c r="A120" s="56">
        <v>4557</v>
      </c>
      <c r="B120" s="57">
        <v>3798.5081718869301</v>
      </c>
      <c r="C120" s="56">
        <v>583</v>
      </c>
    </row>
    <row r="121" spans="1:3">
      <c r="A121" s="56">
        <v>8752</v>
      </c>
      <c r="B121" s="57">
        <v>7814.6960823891404</v>
      </c>
      <c r="C121" s="56">
        <v>315</v>
      </c>
    </row>
    <row r="122" spans="1:3">
      <c r="A122" s="56">
        <v>3440</v>
      </c>
      <c r="B122" s="57">
        <v>3050.6084226436501</v>
      </c>
      <c r="C122" s="56">
        <v>138</v>
      </c>
    </row>
    <row r="123" spans="1:3">
      <c r="A123" s="56">
        <v>1981</v>
      </c>
      <c r="B123" s="57">
        <v>1664.14817280784</v>
      </c>
      <c r="C123" s="56">
        <v>257</v>
      </c>
    </row>
    <row r="124" spans="1:3">
      <c r="A124" s="56">
        <v>13700</v>
      </c>
      <c r="B124" s="57">
        <v>11305.4104268479</v>
      </c>
      <c r="C124" s="56">
        <v>423</v>
      </c>
    </row>
    <row r="125" spans="1:3">
      <c r="A125" s="56">
        <v>7105</v>
      </c>
      <c r="B125" s="57">
        <v>5825.0309293077798</v>
      </c>
      <c r="C125" s="56">
        <v>495</v>
      </c>
    </row>
    <row r="126" spans="1:3">
      <c r="A126" s="56">
        <v>6816</v>
      </c>
      <c r="B126" s="57">
        <v>5761.3688438730396</v>
      </c>
      <c r="C126" s="56">
        <v>622</v>
      </c>
    </row>
    <row r="127" spans="1:3">
      <c r="A127" s="56">
        <v>4620</v>
      </c>
      <c r="B127" s="57">
        <v>4117.4737069599496</v>
      </c>
      <c r="C127" s="56">
        <v>204</v>
      </c>
    </row>
    <row r="128" spans="1:3">
      <c r="A128" s="56">
        <v>7451</v>
      </c>
      <c r="B128" s="57">
        <v>6076.5286423842399</v>
      </c>
      <c r="C128" s="56">
        <v>616</v>
      </c>
    </row>
    <row r="129" spans="1:3">
      <c r="A129" s="56">
        <v>39479</v>
      </c>
      <c r="B129" s="57">
        <v>30937.190185573199</v>
      </c>
      <c r="C129" s="56">
        <v>3643</v>
      </c>
    </row>
  </sheetData>
  <mergeCells count="2">
    <mergeCell ref="A1:C1"/>
    <mergeCell ref="A66:C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dataset maxwel</vt:lpstr>
      <vt:lpstr>parameter FF dan DF</vt:lpstr>
      <vt:lpstr>normalisasi FF &amp; DF</vt:lpstr>
      <vt:lpstr>value range ff &amp; df</vt:lpstr>
      <vt:lpstr>FF &amp; DF</vt:lpstr>
      <vt:lpstr>Value Vi</vt:lpstr>
      <vt:lpstr>Solusi Optimum GA, maxwell</vt:lpstr>
      <vt:lpstr>Solusi Optimum gaco, maxwell</vt:lpstr>
      <vt:lpstr>solusi optimum gaco, zia</vt:lpstr>
      <vt:lpstr>solusi optimum ga, zia</vt:lpstr>
      <vt:lpstr>GACO GA comparations es</vt:lpstr>
      <vt:lpstr>AE, uji Statistik</vt:lpstr>
      <vt:lpstr>Uji Coba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YUSRIL MAHENDRI</dc:creator>
  <cp:lastModifiedBy>YUSRIL MAHENDRI</cp:lastModifiedBy>
  <dcterms:created xsi:type="dcterms:W3CDTF">2025-06-13T11:00:07Z</dcterms:created>
  <dcterms:modified xsi:type="dcterms:W3CDTF">2026-06-06T18:38:05Z</dcterms:modified>
</cp:coreProperties>
</file>